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iefs Monitoring" sheetId="1" r:id="rId1"/>
    <sheet name="Scripts Production" sheetId="2" r:id="rId2"/>
    <sheet name="Brief" sheetId="3" r:id="rId3" state="hidden"/>
    <sheet name="Lists" sheetId="4" r:id="rId4"/>
  </sheets>
  <definedNames>
    <definedName name="L_image_role">Lists!$L$6:$L$11</definedName>
    <definedName name="L_status">Lists!$U$6:$U$11</definedName>
    <definedName name="L_platform">Lists!$AF$6:$AF$10</definedName>
    <definedName name="L_desire_type">Lists!$AC$6:$AC$12</definedName>
    <definedName name="L_story_shape">Lists!$K$6:$K$10</definedName>
    <definedName name="L_sophistication">Lists!$C$6:$C$10</definedName>
    <definedName name="L_copy_format">Lists!$AE$6:$AE$13</definedName>
    <definedName name="L_awareness">Lists!$B$6:$B$10</definedName>
    <definedName name="L_concept_creative">Lists!$F$6:$F$14</definedName>
    <definedName name="L_pov">Lists!$AA$6:$AA$13</definedName>
    <definedName name="L_delivery">Lists!$M$6:$M$10</definedName>
    <definedName name="L_desire_lf8">Lists!$H$6:$H$13</definedName>
    <definedName name="L_works_on_mute">Lists!$AH$6:$AH$8</definedName>
    <definedName name="L_register">Lists!$AB$6:$AB$8</definedName>
    <definedName name="L_prod_status">Lists!$V$6:$V$12</definedName>
    <definedName name="L_socproof">Lists!$I$6:$I$15</definedName>
    <definedName name="L_version">Lists!$T$6:$T$7</definedName>
    <definedName name="L_draft_version">Lists!$W$6:$W$8</definedName>
    <definedName name="L_close_icp">Lists!$Q$6:$Q$13</definedName>
    <definedName name="L_doorway">Lists!$Y$6:$Y$15</definedName>
    <definedName name="L_lead_type">Lists!$J$6:$J$11</definedName>
    <definedName name="L_concept_production">Lists!$G$6:$G$15</definedName>
    <definedName name="L_mechanism_shape">Lists!$X$6:$X$9</definedName>
    <definedName name="L_wave">Lists!$P$6:$P$9</definedName>
    <definedName name="L_hook_type">Lists!$E$6:$E$14</definedName>
    <definedName name="L_verdict">Lists!$O$6:$O$8</definedName>
    <definedName name="L_funnel_stage">Lists!$AD$6:$AD$8</definedName>
    <definedName name="L_sound_on_off">Lists!$AG$6:$AG$8</definedName>
    <definedName name="L_belief_shift">Lists!$D$6:$D$16</definedName>
    <definedName name="L_provenance">Lists!$S$6:$S$8</definedName>
    <definedName name="L_level">Lists!$R$6:$R$12</definedName>
    <definedName name="L_yes_no">Lists!$AJ$6:$AJ$7</definedName>
    <definedName name="L_product_visibility">Lists!$AI$6:$AI$8</definedName>
    <definedName name="L_format">Lists!$N$6:$N$20</definedName>
    <definedName name="L_tone">Lists!$Z$6:$Z$13</definedName>
    <definedName name="L_asset_type">Lists!$A$6:$A$12</definedName>
    <definedName name="_xlnm._FilterDatabase" localSheetId="0" hidden="1">'Briefs Monitoring'!$A$2:$AC$18</definedName>
    <definedName name="_xlnm._FilterDatabase" localSheetId="1" hidden="1">'Scripts Production'!$A$2:$BB$400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61578413557917/posts/122179603544947118/" TargetMode="External"/><Relationship Id="rId2" Type="http://schemas.openxmlformats.org/officeDocument/2006/relationships/hyperlink" Target="https://drive.google.com/file/d/1s6NjYi3VPCcbkJHuytAKuT-2yz3X1Lj6/view?usp=sharing" TargetMode="External"/><Relationship Id="rId3" Type="http://schemas.openxmlformats.org/officeDocument/2006/relationships/hyperlink" Target="https://www.facebook.com/61578413557917/posts/122182109168947118/" TargetMode="External"/><Relationship Id="rId4" Type="http://schemas.openxmlformats.org/officeDocument/2006/relationships/hyperlink" Target="https://drive.google.com/file/d/1EbDFz0TkEv-yB1DsHP3JMIHUTDBs5msu/view?usp=sharing" TargetMode="External"/><Relationship Id="rId5" Type="http://schemas.openxmlformats.org/officeDocument/2006/relationships/hyperlink" Target="https://www.facebook.com/61578413557917/posts/122179603544947118/" TargetMode="External"/><Relationship Id="rId6" Type="http://schemas.openxmlformats.org/officeDocument/2006/relationships/hyperlink" Target="https://drive.google.com/file/d/1guNX42qzrtSbOWVWEWvy8kkUU-ln1_AB/view?usp=sharing" TargetMode="External"/><Relationship Id="rId7" Type="http://schemas.openxmlformats.org/officeDocument/2006/relationships/hyperlink" Target="https://www.facebook.com/61578413557917/posts/122187414164947118/" TargetMode="External"/><Relationship Id="rId8" Type="http://schemas.openxmlformats.org/officeDocument/2006/relationships/hyperlink" Target="https://drive.google.com/file/d/1gTc7jfvhVIAV67C51ICDj7mjABV1CjiX/view?usp=sharing" TargetMode="External"/><Relationship Id="rId9" Type="http://schemas.openxmlformats.org/officeDocument/2006/relationships/hyperlink" Target="https://www.facebook.com/61578413557917/posts/122189352302947118/" TargetMode="External"/><Relationship Id="rId10" Type="http://schemas.openxmlformats.org/officeDocument/2006/relationships/hyperlink" Target="https://drive.google.com/file/d/15kXi5HKKPsvbvaXKHpLAE89CqN7JFips/view?usp=sharing" TargetMode="External"/><Relationship Id="rId11" Type="http://schemas.openxmlformats.org/officeDocument/2006/relationships/hyperlink" Target="https://www.facebook.com/61578413557917/posts/122187414164947118/" TargetMode="External"/><Relationship Id="rId12" Type="http://schemas.openxmlformats.org/officeDocument/2006/relationships/hyperlink" Target="https://drive.google.com/file/d/12aMG0PcZ1sufw42JKtjoQr3Vfvxl6rJ5/view?usp=sharing" TargetMode="External"/><Relationship Id="rId13" Type="http://schemas.openxmlformats.org/officeDocument/2006/relationships/hyperlink" Target="https://www.facebook.com/61578413557917/posts/122179603544947118/" TargetMode="External"/><Relationship Id="rId14" Type="http://schemas.openxmlformats.org/officeDocument/2006/relationships/hyperlink" Target="https://drive.google.com/file/d/1eEfUymsHf_nCbP925tIIFN0DQATWHzNC/view?usp=sharing" TargetMode="External"/><Relationship Id="rId15" Type="http://schemas.openxmlformats.org/officeDocument/2006/relationships/hyperlink" Target="https://www.facebook.com/61578413557917/posts/122179603544947118/" TargetMode="External"/><Relationship Id="rId16" Type="http://schemas.openxmlformats.org/officeDocument/2006/relationships/hyperlink" Target="https://drive.google.com/file/d/1WXTkpwwP9oKOSY_ycMkYme0ikXD_p5v1/view?usp=sharing" TargetMode="External"/><Relationship Id="rId17" Type="http://schemas.openxmlformats.org/officeDocument/2006/relationships/hyperlink" Target="https://www.facebook.com/61578413557917/posts/122189352302947118/" TargetMode="External"/><Relationship Id="rId18" Type="http://schemas.openxmlformats.org/officeDocument/2006/relationships/hyperlink" Target="https://drive.google.com/file/d/1AVDdttDEHABovAU0ztril-iQO5xbWDg4/view?usp=sharing" TargetMode="External"/><Relationship Id="rId19" Type="http://schemas.openxmlformats.org/officeDocument/2006/relationships/hyperlink" Target="https://www.facebook.com/61578413557917/posts/122187414164947118/" TargetMode="External"/><Relationship Id="rId20" Type="http://schemas.openxmlformats.org/officeDocument/2006/relationships/hyperlink" Target="https://drive.google.com/file/d/1YglPW6PSsFdMrkDLBUshOQg3n7y_Sm1X/view?usp=sharing" TargetMode="External"/><Relationship Id="rId21" Type="http://schemas.openxmlformats.org/officeDocument/2006/relationships/hyperlink" Target="https://drive.google.com/file/d/1Ni2mnrxX5XMY4hMHp_CBee2KUFAg5TkI/view?usp=sharing" TargetMode="External"/><Relationship Id="rId22" Type="http://schemas.openxmlformats.org/officeDocument/2006/relationships/hyperlink" Target="https://docs.google.com/document/d/1UvUb9AVsJPpUBJQE3X45AVL9QHuLx9F6/edit?usp=sharing&amp;amp;amp;ouid=117485575170968205220&amp;amp;amp;rtpof=true&amp;amp;amp;sd=true" TargetMode="External"/><Relationship Id="rId23" Type="http://schemas.openxmlformats.org/officeDocument/2006/relationships/hyperlink" Target="https://drive.google.com/file/d/1dD7prUyGsXyyvLyodEs03NP4Bgf6DBp3/view?usp=sharing" TargetMode="External"/><Relationship Id="rId24" Type="http://schemas.openxmlformats.org/officeDocument/2006/relationships/hyperlink" Target="https://docs.google.com/document/d/1eu5z0VehViYyE_sFPeipfZqg2FdY_NAL/edit?usp=sharing&amp;amp;amp;ouid=117485575170968205220&amp;amp;amp;rtpof=true&amp;amp;amp;sd=true" TargetMode="External"/><Relationship Id="rId25" Type="http://schemas.openxmlformats.org/officeDocument/2006/relationships/hyperlink" Target="https://drive.google.com/file/d/1suUbCPo_LWWO8QNbAQ674eRIAYAcB5W9/view?usp=sharing" TargetMode="External"/><Relationship Id="rId26" Type="http://schemas.openxmlformats.org/officeDocument/2006/relationships/hyperlink" Target="https://docs.google.com/document/d/1p4WVUcAW4FS-AZ2aIxFGdKIh9N8FASDg/edit?usp=sharing&amp;amp;amp;ouid=117485575170968205220&amp;amp;amp;rtpof=true&amp;amp;amp;sd=true" TargetMode="External"/><Relationship Id="rId27" Type="http://schemas.openxmlformats.org/officeDocument/2006/relationships/hyperlink" Target="https://drive.google.com/file/d/1-H4YAUD1yasVqoldCBdS-E405qxX0bOo/view?usp=sharing" TargetMode="External"/><Relationship Id="rId28" Type="http://schemas.openxmlformats.org/officeDocument/2006/relationships/hyperlink" Target="https://docs.google.com/document/d/1QCFyRn-dUd-zIvBOMX6IGSry787gqJNu/edit?usp=sharing&amp;amp;amp;ouid=117485575170968205220&amp;amp;amp;rtpof=true&amp;amp;amp;sd=true" TargetMode="External"/><Relationship Id="rId29" Type="http://schemas.openxmlformats.org/officeDocument/2006/relationships/hyperlink" Target="https://docs.google.com/document/d/13pR1Kohy7sVV6ti5MtWGcZT-bGV7sf_1/edit?usp=sharing&amp;amp;amp;ouid=117485575170968205220&amp;amp;amp;rtpof=true&amp;amp;amp;sd=true" TargetMode="External"/><Relationship Id="rId30" Type="http://schemas.openxmlformats.org/officeDocument/2006/relationships/hyperlink" Target="https://drive.google.com/file/d/10w1wW7ac3Mr7kxdedrOmCK_ljrEDFzdq/view?usp=sharing" TargetMode="External"/><Relationship Id="rId31" Type="http://schemas.openxmlformats.org/officeDocument/2006/relationships/hyperlink" Target="https://docs.google.com/document/d/1ArXxLNY53gT42k6Yj6gF1ZxGGdGqrwOG/edit?usp=sharing&amp;amp;amp;ouid=117485575170968205220&amp;amp;amp;rtpof=true&amp;amp;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04"/>
  <sheetViews>
    <sheetView workbookViewId="0" rightToLeft="0"/>
  </sheetViews>
  <sheetData>
    <row r="1">
      <c r="A1" t="str">
        <v>THE CONCEPT</v>
      </c>
      <c r="I1" t="str">
        <v>WHO</v>
      </c>
      <c r="N1" t="str">
        <v>THE SHIFT</v>
      </c>
      <c r="R1" t="str">
        <v>ROUTE</v>
      </c>
      <c r="T1" t="str">
        <v>THE TEST</v>
      </c>
      <c r="X1" t="str">
        <v>ADMIN</v>
      </c>
      <c r="AB1" t="str">
        <v>REFERENCE</v>
      </c>
    </row>
    <row r="2">
      <c r="A2" t="str">
        <v>concept_id</v>
      </c>
      <c r="B2" t="str">
        <v xml:space="preserve">Date Range </v>
      </c>
      <c r="C2" t="str">
        <v>priority</v>
      </c>
      <c r="D2" t="str">
        <v>Naming</v>
      </c>
      <c r="E2" t="str">
        <v>Products</v>
      </c>
      <c r="F2" t="str">
        <v>idea_name</v>
      </c>
      <c r="G2" t="str">
        <v>angle</v>
      </c>
      <c r="H2" t="str">
        <v>angle_point</v>
      </c>
      <c r="I2" t="str">
        <v>close_icp</v>
      </c>
      <c r="J2" t="str">
        <v>avatar</v>
      </c>
      <c r="K2" t="str">
        <v>awareness</v>
      </c>
      <c r="L2" t="str">
        <v>sophistication</v>
      </c>
      <c r="M2" t="str">
        <v>desire_lf8</v>
      </c>
      <c r="N2" t="str">
        <v>belief_shift_type</v>
      </c>
      <c r="O2" t="str">
        <v>belief_shift_from</v>
      </c>
      <c r="P2" t="str">
        <v>belief_shift_to</v>
      </c>
      <c r="Q2" t="str">
        <v>socproof_primary</v>
      </c>
      <c r="R2" t="str">
        <v>level</v>
      </c>
      <c r="S2" t="str">
        <v>parent_code</v>
      </c>
      <c r="T2" t="str">
        <v>hypothesis</v>
      </c>
      <c r="U2" t="str">
        <v>because</v>
      </c>
      <c r="V2" t="str">
        <v>kill_threshold</v>
      </c>
      <c r="W2" t="str">
        <v>scale_threshold</v>
      </c>
      <c r="X2" t="str">
        <v>asset_type</v>
      </c>
      <c r="Y2" t="str">
        <v>format</v>
      </c>
      <c r="Z2" t="str">
        <v>owner</v>
      </c>
      <c r="AA2" t="str">
        <v>status</v>
      </c>
      <c r="AB2" t="str">
        <v>ad_inspo_link</v>
      </c>
      <c r="AC2" t="str">
        <v>ad_inspo_note</v>
      </c>
      <c r="AD2" t="str">
        <v>gdrive_link</v>
      </c>
      <c r="AE2" t="str">
        <v>angle_id</v>
      </c>
      <c r="AF2" t="str">
        <v>pain_cluster_id</v>
      </c>
      <c r="AG2" t="str">
        <v>mechanism_tag</v>
      </c>
    </row>
    <row r="3">
      <c r="A3" t="str">
        <v>HIP-ITR-01</v>
      </c>
      <c r="B3" t="str">
        <v>Aug 17-21</v>
      </c>
      <c r="C3" t="str">
        <v>High</v>
      </c>
      <c r="D3" t="str">
        <v>LongformNative-IMG_HIP_ITR_01_SurgeryCountdown_v2</v>
      </c>
      <c r="E3" t="str">
        <v>HeartHealthCo Hip Belt</v>
      </c>
      <c r="F3" t="str">
        <v>Surgery Countdown v2</v>
      </c>
      <c r="G3" t="str">
        <v>Surgery avoidance — countdown dread</v>
      </c>
      <c r="H3" t="str">
        <v>The 14-month wait turned out to be the best thing that ever happened to her.</v>
      </c>
      <c r="I3" t="str">
        <v>ICP 1: Reluctant Surgery Candidate</v>
      </c>
      <c r="J3" t="str">
        <v>Woman 60-70, told she needs hip replacement, living with daily pain, tried everything the system offered</v>
      </c>
      <c r="K3" t="str">
        <v>Problem Aware</v>
      </c>
      <c r="L3" t="str">
        <v>Stage 4-5</v>
      </c>
      <c r="M3" t="str">
        <v>Surgery avoidance</v>
      </c>
      <c r="N3" t="str">
        <v>Mechanism</v>
      </c>
      <c r="O3" t="str">
        <v>It's bone on bone. The only fix is surgery.</v>
      </c>
      <c r="P3" t="str">
        <v>The pain is starved soft tissue stuck in inflammation, not the bone — and now something can actually reach it.</v>
      </c>
      <c r="Q3" t="str">
        <v>Personal result + peer referral</v>
      </c>
      <c r="R3" t="str">
        <v>L2</v>
      </c>
      <c r="S3" t="str">
        <v>AD 2</v>
      </c>
      <c r="T3" t="str">
        <v>Adding witness-reaction (Denise sees improvement) and one line of social proof will lift conversion by closing the two proof gaps between belief and purchase.</v>
      </c>
      <c r="U3" t="str">
        <v>AD 2 scores 4/5 on Salesmanship due to weak Beat 15 (expert validation) and absent Beat 16 (proof others). Fixing both turns structural gaps into strengths.</v>
      </c>
      <c r="X3" t="str">
        <v>image</v>
      </c>
      <c r="Y3" t="str">
        <v>Longform Native (#46 Text)</v>
      </c>
      <c r="Z3" t="str">
        <v>Dell</v>
      </c>
      <c r="AA3" t="str">
        <v>Inprogress</v>
      </c>
      <c r="AB3" t="str">
        <v xml:space="preserve">https://www.facebook.com/61578413557917/posts/122179603544947118/ </v>
      </c>
      <c r="AC3" t="str">
        <v>AD 2 "The 14 Month" — 30 pur, 4x ROAS. Best performer. Iterating with Beat 15+16 fixes</v>
      </c>
      <c r="AD3" t="str">
        <v>https://drive.google.com/file/d/1s6NjYi3VPCcbkJHuytAKuT-2yz3X1Lj6/view?usp=sharing</v>
      </c>
      <c r="AE3" t="str">
        <v>A1</v>
      </c>
      <c r="AF3" t="str">
        <v>Surgery avoidance</v>
      </c>
      <c r="AG3" t="str">
        <v>Deep Tissue Reset</v>
      </c>
    </row>
    <row r="4">
      <c r="A4" t="str">
        <v>HIP-ITR-02</v>
      </c>
      <c r="B4" t="str">
        <v>Aug 17-21</v>
      </c>
      <c r="C4" t="str">
        <v>High</v>
      </c>
      <c r="D4" t="str">
        <v>LongformNative-IMG_HIP_ITR_02_Paperwork_v2</v>
      </c>
      <c r="E4" t="str">
        <v>HeartHealthCo Hip Belt</v>
      </c>
      <c r="F4" t="str">
        <v>Paperwork v2</v>
      </c>
      <c r="G4" t="str">
        <v>Pre-surgery gut instinct</v>
      </c>
      <c r="H4" t="str">
        <v>The specialist gave her paperwork. Something in her gut said she hadn't done enough yet.</v>
      </c>
      <c r="I4" t="str">
        <v>ICP 1: Reluctant Surgery Candidate</v>
      </c>
      <c r="J4" t="str">
        <v>Woman 64, bone on bone diagnosis, cortisone done, anti-inflammatories every 6 hours, sitting on pre-admission paperwork</v>
      </c>
      <c r="K4" t="str">
        <v>Solution Aware</v>
      </c>
      <c r="L4" t="str">
        <v>Stage 4-5</v>
      </c>
      <c r="M4" t="str">
        <v>Surgery avoidance</v>
      </c>
      <c r="N4" t="str">
        <v>Mechanism</v>
      </c>
      <c r="O4" t="str">
        <v>Conservative treatment failed. Surgery is the only option left.</v>
      </c>
      <c r="P4" t="str">
        <v>Conservative treatment failed because it never reached the tissue. The belt reaches it without cutting.</v>
      </c>
      <c r="Q4" t="str">
        <v>Forum community + personal result</v>
      </c>
      <c r="R4" t="str">
        <v>L2</v>
      </c>
      <c r="S4" t="str">
        <v>AD 8</v>
      </c>
      <c r="T4" t="str">
        <v>Expanding AD 8 from medium to long-form with added guarantee, CTA, and deeper emotional beats will improve conversion while keeping the gut-instinct core.</v>
      </c>
      <c r="U4" t="str">
        <v>AD 8 has strong engagement (47 reacts) but missing guarantee, CTA, and shallow crisis/failure beats. Long-form gives room to fix all three.</v>
      </c>
      <c r="X4" t="str">
        <v>image</v>
      </c>
      <c r="Y4" t="str">
        <v>Longform Native (#46 Text)</v>
      </c>
      <c r="Z4" t="str">
        <v>Dell</v>
      </c>
      <c r="AA4" t="str">
        <v>Inprogress</v>
      </c>
      <c r="AB4" t="str">
        <v xml:space="preserve">https://www.facebook.com/61578413557917/posts/122182109168947118/ </v>
      </c>
      <c r="AC4" t="str">
        <v>AD 8 "The Specialist" — 47 reacts. Expanding from medium (~400w) to long-form with structural additions.</v>
      </c>
      <c r="AD4" t="str">
        <v>https://drive.google.com/file/d/1EbDFz0TkEv-yB1DsHP3JMIHUTDBs5msu/view?usp=sharing</v>
      </c>
      <c r="AE4" t="str">
        <v>A1</v>
      </c>
      <c r="AF4" t="str">
        <v>Surgery avoidance</v>
      </c>
      <c r="AG4" t="str">
        <v>Deep Tissue Reset</v>
      </c>
    </row>
    <row r="5">
      <c r="A5" t="str">
        <v>HIP-ITR-03</v>
      </c>
      <c r="B5" t="str">
        <v>Aug 17-21</v>
      </c>
      <c r="C5" t="str">
        <v>Buffer</v>
      </c>
      <c r="D5" t="str">
        <v>LongformNative-IMG_HIP_ITR_03_SurgeryCountdown_Male</v>
      </c>
      <c r="E5" t="str">
        <v>HeartHealthCo Hip Belt</v>
      </c>
      <c r="F5" t="str">
        <v>Surgery Countdown — Male</v>
      </c>
      <c r="G5" t="str">
        <v>Surgery avoidance — male angle</v>
      </c>
      <c r="H5" t="str">
        <v>Same impossible result (surgery wait became the best thing) but through male-coded scenes: ute, tools, mates, sport.</v>
      </c>
      <c r="I5" t="str">
        <v>ICP 6: Males 65+ ($34.99 CPA)</v>
      </c>
      <c r="J5" t="str">
        <v>Man 65-70, retired tradesman or ex-sportsman, told he needs hip replacement, has been pushing through it his whole life</v>
      </c>
      <c r="K5" t="str">
        <v>Problem Aware</v>
      </c>
      <c r="L5" t="str">
        <v>Stage 4-5</v>
      </c>
      <c r="M5" t="str">
        <v>Surgery avoidance</v>
      </c>
      <c r="N5" t="str">
        <v>Mechanism</v>
      </c>
      <c r="O5" t="str">
        <v>It's bone on bone. The only fix is surgery.</v>
      </c>
      <c r="P5" t="str">
        <v>The pain is starved soft tissue — and now something can reach it without cutting.</v>
      </c>
      <c r="Q5" t="str">
        <v>Mate referral</v>
      </c>
      <c r="R5" t="str">
        <v>L2</v>
      </c>
      <c r="S5" t="str">
        <v>AD 2</v>
      </c>
      <c r="T5" t="str">
        <v>AD 2's proven beat structure transfers to male ICP 6 ($34.99 CPA) when crisis scenes, discovery figure, and emotional beats are male-coded.</v>
      </c>
      <c r="U5" t="str">
        <v>Males 65+ are untapped at $34.99 CPA. AD 2's structure is gender-neutral; only the scenes and voice need adapting.</v>
      </c>
      <c r="X5" t="str">
        <v>image</v>
      </c>
      <c r="Y5" t="str">
        <v>Longform Native (#46 Text)</v>
      </c>
      <c r="Z5" t="str">
        <v>Dell</v>
      </c>
      <c r="AA5" t="str">
        <v>Inprogress</v>
      </c>
      <c r="AB5" t="str">
        <v xml:space="preserve">https://www.facebook.com/61578413557917/posts/122179603544947118/ </v>
      </c>
      <c r="AC5" t="str">
        <v>AD 2 DNA adapted for male narrator. New discovery figure (mate/ex-physio), male-coded scenes.</v>
      </c>
      <c r="AD5" t="str">
        <v>https://drive.google.com/file/d/1guNX42qzrtSbOWVWEWvy8kkUU-ln1_AB/view?usp=sharing</v>
      </c>
      <c r="AE5" t="str">
        <v>A1</v>
      </c>
      <c r="AF5" t="str">
        <v>Surgery avoidance</v>
      </c>
      <c r="AG5" t="str">
        <v>Deep Tissue Reset</v>
      </c>
    </row>
    <row r="6">
      <c r="A6" t="str">
        <v>SH-ITR-01</v>
      </c>
      <c r="B6" t="str">
        <v>Aug 17-21</v>
      </c>
      <c r="C6" t="str">
        <v>Buffer</v>
      </c>
      <c r="D6" t="str">
        <v>LongformNative-IMG_SH_ITR_01_KitchenShelf_v2</v>
      </c>
      <c r="E6" t="str">
        <v>HeartHealthCo Shoulder Belt</v>
      </c>
      <c r="F6" t="str">
        <v>Kitchen Shelf v2</v>
      </c>
      <c r="G6" t="str">
        <v>Daily function loss — progressive shrinking</v>
      </c>
      <c r="H6" t="str">
        <v>Physio said it would settle. Eleven months later, she can't reach the top shelf.</v>
      </c>
      <c r="I6" t="str">
        <v>ICP 3: Active Woman Losing Ground</v>
      </c>
      <c r="J6" t="str">
        <v>Woman 63, shoulder deteriorating for months, physio promised improvement, losing daily independence one object at a time</v>
      </c>
      <c r="K6" t="str">
        <v>Problem Aware</v>
      </c>
      <c r="L6" t="str">
        <v>Stage 4-5</v>
      </c>
      <c r="M6" t="str">
        <v>Independence / daily function</v>
      </c>
      <c r="N6" t="str">
        <v>Mechanism</v>
      </c>
      <c r="O6" t="str">
        <v>It's just inflammation. Give it time and do your exercises.</v>
      </c>
      <c r="P6" t="str">
        <v>The damage sits 4-5cm deep. Heat packs reach 1-3mm. Nothing she tried could physically reach it.</v>
      </c>
      <c r="Q6" t="str">
        <v>Personal result + peer referral</v>
      </c>
      <c r="R6" t="str">
        <v>L2</v>
      </c>
      <c r="S6" t="str">
        <v>AD 1</v>
      </c>
      <c r="T6" t="str">
        <v>Fixing Beat 15 (Pat witnesses result) and Beat 16 (social proof) plus adding mm vs cm precision from AD 4 will lift conversion.</v>
      </c>
      <c r="U6" t="str">
        <v>AD 1 has highest engagement (225 reacts) but same structural gaps as AD 2: weak expert validation, absent social proof.</v>
      </c>
      <c r="X6" t="str">
        <v>image</v>
      </c>
      <c r="Y6" t="str">
        <v>Longform Native (#46 Text)</v>
      </c>
      <c r="Z6" t="str">
        <v>Dell</v>
      </c>
      <c r="AA6" t="str">
        <v>Inprogress</v>
      </c>
      <c r="AB6" t="str">
        <v xml:space="preserve">https://www.facebook.com/61578413557917/posts/122187414164947118/ </v>
      </c>
      <c r="AC6" t="str">
        <v>AD 1 "Kitchen Shelf Thief" — 225 reacts. Iterating with Beat 15+16 fixes + AD 4 depth precision.</v>
      </c>
      <c r="AD6" t="str">
        <v>https://drive.google.com/file/d/1gTc7jfvhVIAV67C51ICDj7mjABV1CjiX/view?usp=sharing</v>
      </c>
      <c r="AE6" t="str">
        <v>D1</v>
      </c>
      <c r="AF6" t="str">
        <v>Daily function loss</v>
      </c>
      <c r="AG6" t="str">
        <v>Deep Shoulder Reset</v>
      </c>
    </row>
    <row r="7">
      <c r="A7" t="str">
        <v>SH-ITR-02</v>
      </c>
      <c r="B7" t="str">
        <v>Aug 17-21</v>
      </c>
      <c r="C7" t="str">
        <v>High</v>
      </c>
      <c r="D7" t="str">
        <v>LongformNative-IMG_SH_ITR_02_FortyFiveMinutes_v2</v>
      </c>
      <c r="E7" t="str">
        <v>HeartHealthCo Shoulder Belt</v>
      </c>
      <c r="F7" t="str">
        <v>Forty-Five Minutes v2</v>
      </c>
      <c r="G7" t="str">
        <v>Gender gap in diagnosis — perimenopause</v>
      </c>
      <c r="H7" t="str">
        <v>Every male specialist got it wrong. The one female specialist spent 45 minutes actually listening.</v>
      </c>
      <c r="I7" t="str">
        <v>ICP 5: Perimenopausal Woman</v>
      </c>
      <c r="J7" t="str">
        <v>Woman 52, working professional, 8 months of being dismissed by male practitioners, spent $2,400 on wrong answers</v>
      </c>
      <c r="K7" t="str">
        <v>Problem Aware</v>
      </c>
      <c r="L7" t="str">
        <v>Stage 4-5</v>
      </c>
      <c r="M7" t="str">
        <v>Being believed / taken seriously</v>
      </c>
      <c r="N7" t="str">
        <v>Mechanism</v>
      </c>
      <c r="O7" t="str">
        <v>It's a rotator cuff strain / impingement / frozen shoulder. Do your exercises.</v>
      </c>
      <c r="P7" t="str">
        <v>Oestrogen drop causes capsule inflammation 4-5cm deep. Standard treatments reach millimetres. The hormonal-inflammatory pathway was never addressed.</v>
      </c>
      <c r="Q7" t="str">
        <v>Personal result + colleague referral</v>
      </c>
      <c r="R7" t="str">
        <v>L2</v>
      </c>
      <c r="S7" t="str">
        <v>AD 4</v>
      </c>
      <c r="T7" t="str">
        <v>Adding guarantee (absent in AD 4), cortisone-weakens-tendons villain, and timeline markers will lift conversion.</v>
      </c>
      <c r="U7" t="str">
        <v>AD 4 is the only long-form ad without a guarantee. Best mechanism section in the set — just needs structural additions.</v>
      </c>
      <c r="X7" t="str">
        <v>image</v>
      </c>
      <c r="Y7" t="str">
        <v>Longform Native (#46 Text)</v>
      </c>
      <c r="Z7" t="str">
        <v>Dell</v>
      </c>
      <c r="AA7" t="str">
        <v>Inprogress</v>
      </c>
      <c r="AB7" t="str">
        <v xml:space="preserve">https://www.facebook.com/61578413557917/posts/122189352302947118/ </v>
      </c>
      <c r="AC7" t="str">
        <v>AD 4 "Forty-Five Minutes" — 15 pur, 3x ROAS. Adding guarantee + cortisone villain + timeline markers.</v>
      </c>
      <c r="AD7" t="str">
        <v>https://drive.google.com/file/d/15kXi5HKKPsvbvaXKHpLAE89CqN7JFips/view?usp=sharing</v>
      </c>
      <c r="AE7" t="str">
        <v>D4</v>
      </c>
      <c r="AF7" t="str">
        <v>Being believed</v>
      </c>
      <c r="AG7" t="str">
        <v>Deep Shoulder Reset</v>
      </c>
    </row>
    <row r="8">
      <c r="A8" t="str">
        <v>SH-ITR-03</v>
      </c>
      <c r="B8" t="str">
        <v>Aug 17-21</v>
      </c>
      <c r="C8" t="str">
        <v>High</v>
      </c>
      <c r="D8" t="str">
        <v>LongformNative-IMG_SH_ITR_03_KitchenShelf_Sleep</v>
      </c>
      <c r="E8" t="str">
        <v>HeartHealthCo Shoulder Belt</v>
      </c>
      <c r="F8" t="str">
        <v>Kitchen Shelf — Sleep</v>
      </c>
      <c r="G8" t="str">
        <v>Night pain / sleep deprivation</v>
      </c>
      <c r="H8" t="str">
        <v>She hasn't slept through the night in nine months. Not once. Because she was treating the wrong thing.</v>
      </c>
      <c r="I8" t="str">
        <v>ICP 3: Night Pain Sufferer</v>
      </c>
      <c r="J8" t="str">
        <v>Woman 63, shoulder wakes her at 2am every night, tried every pillow and position, exhaustion worse than the pain itself</v>
      </c>
      <c r="K8" t="str">
        <v>Problem Aware</v>
      </c>
      <c r="L8" t="str">
        <v>Stage 4-5</v>
      </c>
      <c r="M8" t="str">
        <v>Sleep</v>
      </c>
      <c r="N8" t="str">
        <v>Mechanism</v>
      </c>
      <c r="O8" t="str">
        <v>I'm a bad sleeper. Nothing works for my shoulder at night.</v>
      </c>
      <c r="P8" t="str">
        <v>Lying on the shoulder compresses the inflamed capsule directly. The pain is worst at night because you're pressing into the damaged tissue.</v>
      </c>
      <c r="Q8" t="str">
        <v>Personal result + sleep-specific reviews</v>
      </c>
      <c r="R8" t="str">
        <v>L2</v>
      </c>
      <c r="S8" t="str">
        <v>AD 1</v>
      </c>
      <c r="T8" t="str">
        <v>Reordering AD 1's DNA with sleep as the lead (not subplot) will unlock shoulder's #1 emotional entry point per DRIVE.</v>
      </c>
      <c r="U8" t="str">
        <v>Sleep is the #1 customer theme in shoulder reviews (74 reviews). AD 1 has night waking as scene 3 of 3 — making it scene 1 tests the strongest entry.</v>
      </c>
      <c r="X8" t="str">
        <v>image</v>
      </c>
      <c r="Y8" t="str">
        <v>Longform Native (#46 Text)</v>
      </c>
      <c r="Z8" t="str">
        <v>Dell</v>
      </c>
      <c r="AA8" t="str">
        <v>Inprogress</v>
      </c>
      <c r="AB8" t="str">
        <v xml:space="preserve">https://www.facebook.com/61578413557917/posts/122187414164947118/ </v>
      </c>
      <c r="AC8" t="str">
        <v>AD 1 DNA reordered with sleep as lead. 2am CTA, "270 nights" echo close, sleep-specific failures/results.</v>
      </c>
      <c r="AD8" t="str">
        <v>https://drive.google.com/file/d/12aMG0PcZ1sufw42JKtjoQr3Vfvxl6rJ5/view?usp=sharing</v>
      </c>
      <c r="AE8" t="str">
        <v>D2</v>
      </c>
      <c r="AF8" t="str">
        <v>Sleep / night pain</v>
      </c>
      <c r="AG8" t="str">
        <v>Deep Shoulder Reset</v>
      </c>
    </row>
    <row r="9">
      <c r="A9" t="str">
        <v>HIP-NEW-01</v>
      </c>
      <c r="B9" t="str">
        <v>Aug 17-21</v>
      </c>
      <c r="C9" t="str">
        <v>High</v>
      </c>
      <c r="D9" t="str">
        <v>LongformNative-IMG_HIP_NEW_01_UnnecessarySurgery</v>
      </c>
      <c r="E9" t="str">
        <v>HeartHealthCo Hip Belt</v>
      </c>
      <c r="F9" t="str">
        <v>The Unnecessary Surgery</v>
      </c>
      <c r="G9" t="str">
        <v>A1: Unnecessary Surgery — authority reframe</v>
      </c>
      <c r="H9" t="str">
        <v>Hip surgeon with 22 years says most replacements he performed were probably unnecessary.</v>
      </c>
      <c r="I9" t="str">
        <v>ICP 1: Reluctant Surgery Candidate</v>
      </c>
      <c r="J9" t="str">
        <v>Woman 58-64, weeks from scheduled hip replacement, looking for permission from an authority to question the path</v>
      </c>
      <c r="K9" t="str">
        <v>Problem Aware</v>
      </c>
      <c r="L9" t="str">
        <v>Stage 3</v>
      </c>
      <c r="M9" t="str">
        <v>Surgery avoidance</v>
      </c>
      <c r="N9" t="str">
        <v>Mechanism</v>
      </c>
      <c r="O9" t="str">
        <v>The X-ray shows bone on bone. The only fix is replacing the joint.</v>
      </c>
      <c r="P9" t="str">
        <v>The scan shows bone but not soft tissue. A surgeon says that's where the pain actually lives in most cases.</v>
      </c>
      <c r="Q9" t="str">
        <v>Authority (surgeon) + personal result + GP reaction</v>
      </c>
      <c r="R9" t="str">
        <v>L1</v>
      </c>
      <c r="S9" t="str">
        <v>AD 2 (structure)</v>
      </c>
      <c r="T9" t="str">
        <v>Authority-first entry (surgeon questioning surgery) outperforms peer-first entry (Maggie's story) for ICP 1 because the reader needs permission from a credentialed source.</v>
      </c>
      <c r="U9" t="str">
        <v>AD 2's peer voice converts at 4x ROAS. Testing whether authority disruption can match or beat it while opening a fatigue-proof creative angle.</v>
      </c>
      <c r="X9" t="str">
        <v>image</v>
      </c>
      <c r="Y9" t="str">
        <v>Longform Native (#46 Text)</v>
      </c>
      <c r="Z9" t="str">
        <v>Dell</v>
      </c>
      <c r="AA9" t="str">
        <v>Inprogress</v>
      </c>
      <c r="AB9" t="str">
        <v xml:space="preserve">https://www.facebook.com/61578413557917/posts/122179603544947118/ </v>
      </c>
      <c r="AC9" t="str">
        <v>New concept using AD 2 beat structure. Surgeon as discovery figure (replaces Denise). Maps to Dr. Sime LP.</v>
      </c>
      <c r="AD9" t="str">
        <v>https://drive.google.com/file/d/1eEfUymsHf_nCbP925tIIFN0DQATWHzNC/view?usp=sharing</v>
      </c>
      <c r="AE9" t="str">
        <v>A1</v>
      </c>
      <c r="AF9" t="str">
        <v>Surgery avoidance</v>
      </c>
      <c r="AG9" t="str">
        <v>Deep Tissue Reset</v>
      </c>
    </row>
    <row r="10">
      <c r="A10" t="str">
        <v>HIP-NEW-02</v>
      </c>
      <c r="B10" t="str">
        <v>Aug 17-21</v>
      </c>
      <c r="C10" t="str">
        <v>High</v>
      </c>
      <c r="D10" t="str">
        <v>LongformNative-IMG_HIP_NEW_02_25000Question</v>
      </c>
      <c r="E10" t="str">
        <v>HeartHealthCo Hip Belt</v>
      </c>
      <c r="F10" t="str">
        <v>The $25,000 Question</v>
      </c>
      <c r="G10" t="str">
        <v>A2: Financial trap — surgery cost vs belt cost</v>
      </c>
      <c r="H10" t="str">
        <v>$25,000 for surgery. $149 for a belt. One of them treats the actual problem.</v>
      </c>
      <c r="I10" t="str">
        <v>ICP 1 + ICP 3: Surgery Candidate + Active Woman</v>
      </c>
      <c r="J10" t="str">
        <v>Woman 50-65, quoted $18K-$25K for hip replacement, has already spent $3,000+ on failed treatments, tracks every dollar</v>
      </c>
      <c r="K10" t="str">
        <v>Problem Aware</v>
      </c>
      <c r="L10" t="str">
        <v>Stage 3</v>
      </c>
      <c r="M10" t="str">
        <v>Surgery avoidance + financial relief</v>
      </c>
      <c r="N10" t="str">
        <v>Mechanism</v>
      </c>
      <c r="O10" t="str">
        <v>Surgery is the only real fix, and I either find the $25,000 or I live with this.</v>
      </c>
      <c r="P10" t="str">
        <v>I've spent $3,000+ on treatments aimed at the wrong tissue. The $149 belt reaches the tissue the $25,000 surgery doesn't even touch.</v>
      </c>
      <c r="Q10" t="str">
        <v>Personal result + financial comparison</v>
      </c>
      <c r="R10" t="str">
        <v>L1</v>
      </c>
      <c r="S10" t="str">
        <v>AD 2 (structure)</v>
      </c>
      <c r="T10" t="str">
        <v>Leading with financial reality unlocks a segment motivated by financial stress over surgery fear. The $149 price against $25K makes the belt the only logical move.</v>
      </c>
      <c r="U10" t="str">
        <v>Financial angle is untested. Same 19-beat DNA, same mechanism — only the emotional entry point changes. Lower risk, wider audience.</v>
      </c>
      <c r="X10" t="str">
        <v>image</v>
      </c>
      <c r="Y10" t="str">
        <v>Longform Native (#46 Text)</v>
      </c>
      <c r="Z10" t="str">
        <v>Dell</v>
      </c>
      <c r="AA10" t="str">
        <v>Inprogress</v>
      </c>
      <c r="AB10" t="str">
        <v xml:space="preserve">https://www.facebook.com/61578413557917/posts/122179603544947118/ </v>
      </c>
      <c r="AC10" t="str">
        <v>New concept using AD 2 beat structure. Financial angle — failed treatments get dollar figures, surgery quote is the emotional low.</v>
      </c>
      <c r="AD10" t="str">
        <v>https://drive.google.com/file/d/1WXTkpwwP9oKOSY_ycMkYme0ikXD_p5v1/view?usp=sharing</v>
      </c>
      <c r="AE10" t="str">
        <v>A2</v>
      </c>
      <c r="AF10" t="str">
        <v>Financial trap</v>
      </c>
      <c r="AG10" t="str">
        <v>Deep Tissue Reset</v>
      </c>
    </row>
    <row r="11">
      <c r="A11" t="str">
        <v>SH-NEW-01</v>
      </c>
      <c r="B11" t="str">
        <v>Aug 17-21</v>
      </c>
      <c r="C11" t="str">
        <v>High</v>
      </c>
      <c r="D11" t="str">
        <v>LongformNative-IMG_SH_NEW_01_UnnecessarySurgery</v>
      </c>
      <c r="E11" t="str">
        <v>HeartHealthCo Shoulder Belt</v>
      </c>
      <c r="F11" t="str">
        <v>The Unnecessary Surgery (Shoulder)</v>
      </c>
      <c r="G11" t="str">
        <v>D1: Unnecessary Surgery — surgeon authority</v>
      </c>
      <c r="H11" t="str">
        <v>31 years and 4,000 procedures — most could have been avoided.</v>
      </c>
      <c r="I11" t="str">
        <v>ICP 2: Rotator Cuff Patient</v>
      </c>
      <c r="J11" t="str">
        <v>Woman 50-65, rotator cuff tear diagnosed, surgeon recommending arthroscopy ($5,200+) or replacement ($18K+), weighing the decision</v>
      </c>
      <c r="K11" t="str">
        <v>Problem Aware</v>
      </c>
      <c r="L11" t="str">
        <v>Stage 2</v>
      </c>
      <c r="M11" t="str">
        <v>Surgery avoidance</v>
      </c>
      <c r="N11" t="str">
        <v>Mechanism</v>
      </c>
      <c r="O11" t="str">
        <v>Conservative treatment failed. Surgery is the only way to reach the damaged tissue.</v>
      </c>
      <c r="P11" t="str">
        <v>The tissue sits 4-5cm deep. Surgery reaches it by cutting. 850nm near-infrared reaches it without cutting.</v>
      </c>
      <c r="Q11" t="str">
        <v>Authority (Dr. Whitfield) + LP trial data (47/50)</v>
      </c>
      <c r="R11" t="str">
        <v>L1</v>
      </c>
      <c r="S11" t="str">
        <v>AD 4 + AD 1 (structure)</v>
      </c>
      <c r="T11" t="str">
        <v>Surgeon-as-narrator outperforms peer narrator for ICP 2 because this reader is weighing a $5,900+ surgery decision and needs authority, not another patient story.</v>
      </c>
      <c r="U11" t="str">
        <v>No competitor runs surgeon-authority advertorial. Dr. Whitfield (31 yrs, 4,000 procedures, RACS fellowship) is on the LP — the ad pre-frames the LP experience.</v>
      </c>
      <c r="X11" t="str">
        <v>image</v>
      </c>
      <c r="Y11" t="str">
        <v>Longform Native (#46 Text)</v>
      </c>
      <c r="Z11" t="str">
        <v>Dell</v>
      </c>
      <c r="AA11" t="str">
        <v>Inprogress</v>
      </c>
      <c r="AB11" t="str">
        <v xml:space="preserve">https://www.facebook.com/61578413557917/posts/122189352302947118/ </v>
      </c>
      <c r="AC11" t="str">
        <v>New concept. Dr. Whitfield first-person narrator. AD 4 mechanism precision + AD 1 beat structure. 4 headline options.</v>
      </c>
      <c r="AD11" t="str">
        <v>https://drive.google.com/file/d/1AVDdttDEHABovAU0ztril-iQO5xbWDg4/view?usp=sharing</v>
      </c>
      <c r="AE11" t="str">
        <v>D1</v>
      </c>
      <c r="AF11" t="str">
        <v>Surgery avoidance</v>
      </c>
      <c r="AG11" t="str">
        <v>Deep Shoulder Reset</v>
      </c>
    </row>
    <row r="12">
      <c r="A12" t="str">
        <v>SH-NEW-02</v>
      </c>
      <c r="B12" t="str">
        <v>Aug 17-21</v>
      </c>
      <c r="C12" t="str">
        <v>High</v>
      </c>
      <c r="D12" t="str">
        <v>LongformNative-IMG_SH_NEW_02_PreSurgeryWindow</v>
      </c>
      <c r="E12" t="str">
        <v>HeartHealthCo Shoulder Belt</v>
      </c>
      <c r="F12" t="str">
        <v>The Pre-Surgery Window</v>
      </c>
      <c r="G12" t="str">
        <v>D5: Pre-Surgery Window — try before you commit</v>
      </c>
      <c r="H12" t="str">
        <v>Try 30 days before you commit to 6 months of recovery.</v>
      </c>
      <c r="I12" t="str">
        <v>ICP 2: Rotator Cuff Patient (pre-surgery window)</v>
      </c>
      <c r="J12" t="str">
        <v>Woman 55-68, surgery recommended but not booked, in the gap between recommendation and decision, pro-exhausting-every-option</v>
      </c>
      <c r="K12" t="str">
        <v>Problem Aware</v>
      </c>
      <c r="L12" t="str">
        <v>Stage 2</v>
      </c>
      <c r="M12" t="str">
        <v>Surgery avoidance / certainty</v>
      </c>
      <c r="N12" t="str">
        <v>Mechanism</v>
      </c>
      <c r="O12" t="str">
        <v>My surgeon said I need surgery. I should book it.</v>
      </c>
      <c r="P12" t="str">
        <v>Surgery is still an option — but I have 30 days to try something reversible before committing to something irreversible.</v>
      </c>
      <c r="Q12" t="str">
        <v>Personal result + forum community</v>
      </c>
      <c r="R12" t="str">
        <v>L1</v>
      </c>
      <c r="S12" t="str">
        <v>AD 1 + AD 4 (structure)</v>
      </c>
      <c r="T12" t="str">
        <v>A rational risk-comparison (30 days trial vs 6 months recovery, $149 refundable vs $5,200+ irreversible) converts the surgery-considering audience.</v>
      </c>
      <c r="U12" t="str">
        <v>AD 8 proved pre-surgery emotional territory works for hip. This ports it to shoulder with explicit risk comparison. Guarantee is the strategic argument, not a footnote.</v>
      </c>
      <c r="X12" t="str">
        <v>image</v>
      </c>
      <c r="Y12" t="str">
        <v>Longform Native (#46 Text)</v>
      </c>
      <c r="Z12" t="str">
        <v>Dell</v>
      </c>
      <c r="AA12" t="str">
        <v>Inprogress</v>
      </c>
      <c r="AB12" t="str">
        <v xml:space="preserve">https://www.facebook.com/61578413557917/posts/122187414164947118/ </v>
      </c>
      <c r="AC12" t="str">
        <v>New concept. AD 1 beat structure + AD 4 mechanism precision + AD 8 emotional territory. 4 headline options. Guarantee as core argument.</v>
      </c>
      <c r="AD12" t="str">
        <v>https://drive.google.com/file/d/1YglPW6PSsFdMrkDLBUshOQg3n7y_Sm1X/view?usp=sharing</v>
      </c>
      <c r="AE12" t="str">
        <v>D5</v>
      </c>
      <c r="AF12" t="str">
        <v>Surgery avoidance</v>
      </c>
      <c r="AG12" t="str">
        <v>Deep Shoulder Reset</v>
      </c>
    </row>
    <row r="13">
      <c r="A13" t="str">
        <v>HB-S13</v>
      </c>
      <c r="B13" t="str">
        <v>Aug 17-21</v>
      </c>
      <c r="C13" t="str">
        <v>High</v>
      </c>
      <c r="D13" t="str">
        <v>Static-IMG_HB_S13_SocialProofStack</v>
      </c>
      <c r="E13" t="str">
        <v>HeartHealthCo Hip Belt</v>
      </c>
      <c r="F13" t="str">
        <v>Social Proof Stack</v>
      </c>
      <c r="G13" t="str">
        <v>Volume social proof - three testimonials stacked</v>
      </c>
      <c r="H13" t="str">
        <v>12,000+ Australians have tried the Hip Belt. Three of them describe the same transformation.</v>
      </c>
      <c r="I13" t="str">
        <v>Cautious Researcher</v>
      </c>
      <c r="J13" t="str">
        <v>Woman 55-65, seen the ad three times, reads every review, needs volume proof not narrative</v>
      </c>
      <c r="K13" t="str">
        <v>Solution Aware</v>
      </c>
      <c r="L13" t="str">
        <v>Stage 4</v>
      </c>
      <c r="M13" t="str">
        <v>Reduce uncertainty</v>
      </c>
      <c r="N13" t="str">
        <v>Social Proof</v>
      </c>
      <c r="O13" t="str">
        <v>I need to see more proof before I trust this.</v>
      </c>
      <c r="P13" t="str">
        <v>Three people like me are saying the same thing. That is not a coincidence.</v>
      </c>
      <c r="Q13" t="str">
        <v>Volume testimonials (3 stacked)</v>
      </c>
      <c r="R13" t="str">
        <v>L1</v>
      </c>
      <c r="S13" t="str">
        <v>NEW</v>
      </c>
      <c r="T13" t="str">
        <v>Stacking 3 testimonials in a single static will convert cautious scrollers who need consensus over narrative.</v>
      </c>
      <c r="U13" t="str">
        <v>Current ads rely on single-persona stories. Cautious researchers need volume, not depth.</v>
      </c>
      <c r="X13" t="str">
        <v>image</v>
      </c>
      <c r="Y13" t="str">
        <v>Static Image</v>
      </c>
      <c r="Z13" t="str">
        <v>Dell</v>
      </c>
      <c r="AA13" t="str">
        <v>Inprogress</v>
      </c>
      <c r="AB13" t="str">
        <v>https://drive.google.com/file/d/1Ni2mnrxX5XMY4hMHp_CBee2KUFAg5TkI/view?usp=sharing</v>
      </c>
      <c r="AC13" t="str">
        <v>Infraredi — "25,000+ Customers"</v>
      </c>
      <c r="AD13" t="str">
        <v>https://docs.google.com/document/d/1UvUb9AVsJPpUBJQE3X45AVL9QHuLx9F6/edit?usp=sharing&amp;ouid=117485575170968205220&amp;rtpof=true&amp;sd=true</v>
      </c>
      <c r="AE13" t="str">
        <v>SP1</v>
      </c>
      <c r="AF13" t="str">
        <v>Social proof</v>
      </c>
      <c r="AG13" t="str">
        <v>Deep Tissue Reset</v>
      </c>
    </row>
    <row r="14">
      <c r="A14" t="str">
        <v>HB-S14</v>
      </c>
      <c r="B14" t="str">
        <v>Aug 17-21</v>
      </c>
      <c r="C14" t="str">
        <v>High</v>
      </c>
      <c r="D14" t="str">
        <v>Static-IMG_HB_S14_HeroTestimonialTrust</v>
      </c>
      <c r="E14" t="str">
        <v>HeartHealthCo Hip Belt</v>
      </c>
      <c r="F14" t="str">
        <v>Hero Testimonial + Trust Badges</v>
      </c>
      <c r="G14" t="str">
        <v>Single powerful quote + trust badge stack</v>
      </c>
      <c r="H14" t="str">
        <v>One woman says her hip feels 5-7 years younger. 289 reviews. 30-day guarantee. No risk.</v>
      </c>
      <c r="I14" t="str">
        <v>Pre-Surgery Holdout</v>
      </c>
      <c r="J14" t="str">
        <v>W/M 55-70, bone-on-bone diagnosis, surgeon booked, searching late at night for one more reason to delay</v>
      </c>
      <c r="K14" t="str">
        <v>Solution Aware</v>
      </c>
      <c r="L14" t="str">
        <v>Stage 4</v>
      </c>
      <c r="M14" t="str">
        <v>Surgery avoidance</v>
      </c>
      <c r="N14" t="str">
        <v>Social Proof + Trust</v>
      </c>
      <c r="O14" t="str">
        <v>It sounds too good to be true.</v>
      </c>
      <c r="P14" t="str">
        <v>The claim is bold but the proof stack removes my last objection.</v>
      </c>
      <c r="Q14" t="str">
        <v>Hero testimonial + trust badges (reviews, guarantee, warranty, shipping)</v>
      </c>
      <c r="R14" t="str">
        <v>L1</v>
      </c>
      <c r="S14" t="str">
        <v>NEW</v>
      </c>
      <c r="T14" t="str">
        <v>A single bold testimonial paired with a trust badge stack will reduce purchase anxiety for high-consideration buyers.</v>
      </c>
      <c r="U14" t="str">
        <v>Pre-surgery holdouts need both emotional proof (quote) and rational proof (badges) in one frame.</v>
      </c>
      <c r="X14" t="str">
        <v>image</v>
      </c>
      <c r="Y14" t="str">
        <v>Static Image</v>
      </c>
      <c r="Z14" t="str">
        <v>Dell</v>
      </c>
      <c r="AA14" t="str">
        <v>Inprogress</v>
      </c>
      <c r="AB14" t="str">
        <v>https://drive.google.com/file/d/1dD7prUyGsXyyvLyodEs03NP4Bgf6DBp3/view?usp=sharing</v>
      </c>
      <c r="AC14" t="str">
        <v>Infraredi — "Taken Back 3-5 Years"</v>
      </c>
      <c r="AD14" t="str">
        <v>https://docs.google.com/document/d/1eu5z0VehViYyE_sFPeipfZqg2FdY_NAL/edit?usp=sharing&amp;ouid=117485575170968205220&amp;rtpof=true&amp;sd=true</v>
      </c>
      <c r="AE14" t="str">
        <v>A1</v>
      </c>
      <c r="AF14" t="str">
        <v>Surgery avoidance</v>
      </c>
      <c r="AG14" t="str">
        <v>Deep Tissue Reset</v>
      </c>
    </row>
    <row r="15">
      <c r="A15" t="str">
        <v>HB-S15</v>
      </c>
      <c r="B15" t="str">
        <v>Aug 17-21</v>
      </c>
      <c r="C15" t="str">
        <v>High</v>
      </c>
      <c r="D15" t="str">
        <v>Static-IMG_HB_S15_FacebookNativePost</v>
      </c>
      <c r="E15" t="str">
        <v>HeartHealthCo Hip Belt</v>
      </c>
      <c r="F15" t="str">
        <v>Facebook Native Post</v>
      </c>
      <c r="G15" t="str">
        <v>Disguised organic post - bypasses ad blindness</v>
      </c>
      <c r="H15" t="str">
        <v>She spent $4,200 on physio. One month with the belt gave more relief than 2 years of appointments.</v>
      </c>
      <c r="I15" t="str">
        <v>Painkiller Prisoner</v>
      </c>
      <c r="J15" t="str">
        <v>Woman 52-60, scrolling Facebook at 11pm, exhausted from Nurofen, everything looks like an ad except this</v>
      </c>
      <c r="K15" t="str">
        <v>Problem Aware</v>
      </c>
      <c r="L15" t="str">
        <v>Stage 3</v>
      </c>
      <c r="M15" t="str">
        <v>Lasting relief</v>
      </c>
      <c r="N15" t="str">
        <v>Native Social Proof</v>
      </c>
      <c r="O15" t="str">
        <v>Every ad is trying to sell me something.</v>
      </c>
      <c r="P15" t="str">
        <v>This looks like a real person sharing a real experience.</v>
      </c>
      <c r="Q15" t="str">
        <v>Fake organic post with engagement metrics + comment</v>
      </c>
      <c r="R15" t="str">
        <v>L1</v>
      </c>
      <c r="S15" t="str">
        <v>NEW</v>
      </c>
      <c r="T15" t="str">
        <v>A Facebook-native post format will bypass ad blindness and stop thumbs that ignore traditional ad layouts.</v>
      </c>
      <c r="U15" t="str">
        <v>Ad fatigue is real for 50+ women on FB. Native-looking content earns attention traditional formats cannot.</v>
      </c>
      <c r="X15" t="str">
        <v>image</v>
      </c>
      <c r="Y15" t="str">
        <v>Static Image</v>
      </c>
      <c r="Z15" t="str">
        <v>Dell</v>
      </c>
      <c r="AA15" t="str">
        <v>Inprogress</v>
      </c>
      <c r="AB15" t="str">
        <v>https://drive.google.com/file/d/1suUbCPo_LWWO8QNbAQ674eRIAYAcB5W9/view?usp=sharing</v>
      </c>
      <c r="AC15" t="str">
        <v>Zeely AI — Facebook Native Post</v>
      </c>
      <c r="AD15" t="str">
        <v>https://docs.google.com/document/d/1p4WVUcAW4FS-AZ2aIxFGdKIh9N8FASDg/edit?usp=sharing&amp;ouid=117485575170968205220&amp;rtpof=true&amp;sd=true</v>
      </c>
      <c r="AE15" t="str">
        <v>A3</v>
      </c>
      <c r="AF15" t="str">
        <v>Painkiller dependency</v>
      </c>
      <c r="AG15" t="str">
        <v>Deep Tissue Reset</v>
      </c>
    </row>
    <row r="16">
      <c r="A16" t="str">
        <v>SB-S18</v>
      </c>
      <c r="B16" t="str">
        <v>Aug 17-21</v>
      </c>
      <c r="C16" t="str">
        <v>High</v>
      </c>
      <c r="D16" t="str">
        <v>Static-IMG_SB_S18_ProblemCallout</v>
      </c>
      <c r="E16" t="str">
        <v>HeartHealthCo Shoulder Belt</v>
      </c>
      <c r="F16" t="str">
        <v>Problem Callout</v>
      </c>
      <c r="G16" t="str">
        <v>Fear-state match - cortisone wearing off faster</v>
      </c>
      <c r="H16" t="str">
        <v>First cortisone lasted 6 weeks. Second lasted 3. Physio says cortisone weakens tendons. She is trapped.</v>
      </c>
      <c r="I16" t="str">
        <v>Cortisone Repeater</v>
      </c>
      <c r="J16" t="str">
        <v>W/M 50-65, had 2 cortisone shots, each lasting shorter, physio warned about tendon weakening</v>
      </c>
      <c r="K16" t="str">
        <v>Problem Aware</v>
      </c>
      <c r="L16" t="str">
        <v>Stage 3</v>
      </c>
      <c r="M16" t="str">
        <v>Avoid cortisone</v>
      </c>
      <c r="N16" t="str">
        <v>Mechanism</v>
      </c>
      <c r="O16" t="str">
        <v>Cortisone is the only thing that helps even temporarily.</v>
      </c>
      <c r="P16" t="str">
        <v>Cortisone never reached the tissue causing the inflammation. Something else does, without weakening tendons.</v>
      </c>
      <c r="Q16" t="str">
        <v>Volume claim (thousands of Australians)</v>
      </c>
      <c r="R16" t="str">
        <v>L1</v>
      </c>
      <c r="S16" t="str">
        <v>NEW</v>
      </c>
      <c r="T16" t="str">
        <v>Meeting the cortisone fear-state head-on converts viewers trapped in the injection cycle.</v>
      </c>
      <c r="U16" t="str">
        <v>Cortisone dependency is the #1 villain for shoulder. Margaret cancelled her shot the day the wrap arrived.</v>
      </c>
      <c r="X16" t="str">
        <v>image</v>
      </c>
      <c r="Y16" t="str">
        <v>Static Image</v>
      </c>
      <c r="Z16" t="str">
        <v>Dell</v>
      </c>
      <c r="AA16" t="str">
        <v>Inprogress</v>
      </c>
      <c r="AB16" t="str">
        <v>https://drive.google.com/file/d/1-H4YAUD1yasVqoldCBdS-E405qxX0bOo/view?usp=sharing</v>
      </c>
      <c r="AC16" t="str">
        <v>Insure My Life — "Sick Pay Insurance"</v>
      </c>
      <c r="AD16" t="str">
        <v xml:space="preserve">https://docs.google.com/document/d/1QCFyRn-dUd-zIvBOMX6IGSry787gqJNu/edit?usp=sharing&amp;ouid=117485575170968205220&amp;rtpof=true&amp;sd=true </v>
      </c>
      <c r="AE16" t="str">
        <v>D3</v>
      </c>
      <c r="AF16" t="str">
        <v>Cortisone dependency</v>
      </c>
      <c r="AG16" t="str">
        <v>Deep Shoulder Reset</v>
      </c>
    </row>
    <row r="17">
      <c r="A17" t="str">
        <v>SB-S19</v>
      </c>
      <c r="B17" t="str">
        <v>Aug 17-21</v>
      </c>
      <c r="C17" t="str">
        <v>High</v>
      </c>
      <c r="D17" t="str">
        <v>Static-IMG_SB_S19_LifestyleTestimonial</v>
      </c>
      <c r="E17" t="str">
        <v>HeartHealthCo Shoulder Belt</v>
      </c>
      <c r="F17" t="str">
        <v>Lifestyle Testimonial</v>
      </c>
      <c r="G17" t="str">
        <v>Aspirational outcome - peaceful sleep photo + single quote</v>
      </c>
      <c r="H17" t="str">
        <v>She slept through the night. On her bad side. She cried.</v>
      </c>
      <c r="I17" t="str">
        <v>Night Pain Sufferer</v>
      </c>
      <c r="J17" t="str">
        <v>Woman 55-65, has not slept on her left side in over a year, wakes every time she rolls onto shoulder</v>
      </c>
      <c r="K17" t="str">
        <v>Solution Aware</v>
      </c>
      <c r="L17" t="str">
        <v>Stage 4</v>
      </c>
      <c r="M17" t="str">
        <v>Sleep</v>
      </c>
      <c r="N17" t="str">
        <v>Outcome Proof</v>
      </c>
      <c r="O17" t="str">
        <v>I will never sleep on that side again.</v>
      </c>
      <c r="P17" t="str">
        <v>She is sleeping on her bad side. Peacefully. That could be me.</v>
      </c>
      <c r="Q17" t="str">
        <v>Single emotional testimonial (Margaret K., Bendigo)</v>
      </c>
      <c r="R17" t="str">
        <v>L1</v>
      </c>
      <c r="S17" t="str">
        <v>NEW</v>
      </c>
      <c r="T17" t="str">
        <v>Aspirational sleep imagery sells the outcome for the #1 shoulder desire (91% sleep disruption).</v>
      </c>
      <c r="U17" t="str">
        <v>Sleep is the #1 customer theme for shoulder. No current ad sells the outcome visually.</v>
      </c>
      <c r="X17" t="str">
        <v>image</v>
      </c>
      <c r="Y17" t="str">
        <v>Static Image</v>
      </c>
      <c r="Z17" t="str">
        <v>Dell</v>
      </c>
      <c r="AA17" t="str">
        <v>Inprogress</v>
      </c>
      <c r="AD17" t="str">
        <v>https://docs.google.com/document/d/13pR1Kohy7sVV6ti5MtWGcZT-bGV7sf_1/edit?usp=sharing&amp;ouid=117485575170968205220&amp;rtpof=true&amp;sd=true</v>
      </c>
      <c r="AE17" t="str">
        <v>D4</v>
      </c>
      <c r="AF17" t="str">
        <v>Night pain / sleep</v>
      </c>
      <c r="AG17" t="str">
        <v>Deep Shoulder Reset</v>
      </c>
    </row>
    <row r="18">
      <c r="A18" t="str">
        <v>SB-S20</v>
      </c>
      <c r="B18" t="str">
        <v>Aug 17-21</v>
      </c>
      <c r="C18" t="str">
        <v>High</v>
      </c>
      <c r="D18" t="str">
        <v>Static-IMG_SB_S20_ResearchScienceBacked</v>
      </c>
      <c r="E18" t="str">
        <v>HeartHealthCo Shoulder Belt</v>
      </c>
      <c r="F18" t="str">
        <v>Research / Science Backed</v>
      </c>
      <c r="G18" t="str">
        <v>Clinical credibility stack - research badge, numbered benefits</v>
      </c>
      <c r="H18" t="str">
        <v>Your rotator cuff does not get a second chance. Your soft tissue does. Here is the research.</v>
      </c>
      <c r="I18" t="str">
        <v>Cautious Researcher</v>
      </c>
      <c r="J18" t="str">
        <v>W/M 55-70, googles "does red light therapy work for rotator cuff", reads PubMed</v>
      </c>
      <c r="K18" t="str">
        <v>Most Aware</v>
      </c>
      <c r="L18" t="str">
        <v>Stage 5</v>
      </c>
      <c r="M18" t="str">
        <v>Reduce uncertainty</v>
      </c>
      <c r="N18" t="str">
        <v>Evidence</v>
      </c>
      <c r="O18" t="str">
        <v>I need to see real research before I buy a shoulder wrap.</v>
      </c>
      <c r="P18" t="str">
        <v>Research-backed. 4.8 stars. 74+ reviews. Australian owned.</v>
      </c>
      <c r="Q18" t="str">
        <v>Research badge + review count + trust badges</v>
      </c>
      <c r="R18" t="str">
        <v>L1</v>
      </c>
      <c r="S18" t="str">
        <v>NEW</v>
      </c>
      <c r="T18" t="str">
        <v>Clinical credibility signals convert the evidence-first buyer who researches before purchasing.</v>
      </c>
      <c r="U18" t="str">
        <v>No current shoulder ad uses research-backed positioning or clinical authority badges.</v>
      </c>
      <c r="X18" t="str">
        <v>image</v>
      </c>
      <c r="Y18" t="str">
        <v>Static Image</v>
      </c>
      <c r="Z18" t="str">
        <v>Dell</v>
      </c>
      <c r="AA18" t="str">
        <v>Inprogress</v>
      </c>
      <c r="AB18" t="str">
        <v>https://drive.google.com/file/d/10w1wW7ac3Mr7kxdedrOmCK_ljrEDFzdq/view?usp=sharing</v>
      </c>
      <c r="AC18" t="str">
        <v>Metabolae — "Second Chance"</v>
      </c>
      <c r="AD18" t="str">
        <v>https://docs.google.com/document/d/1ArXxLNY53gT42k6Yj6gF1ZxGGdGqrwOG/edit?usp=sharing&amp;ouid=117485575170968205220&amp;rtpof=true&amp;sd=true</v>
      </c>
      <c r="AE18" t="str">
        <v>SP1</v>
      </c>
      <c r="AF18" t="str">
        <v>Clinical proof</v>
      </c>
      <c r="AG18" t="str">
        <v>Deep Shoulder Reset</v>
      </c>
    </row>
    <row r="19">
      <c r="A19" t="str">
        <v>HIP-NEW-11</v>
      </c>
      <c r="D19" t="str">
        <v>Ten Minutes to Put a Sock On</v>
      </c>
      <c r="E19" t="str">
        <v>HeartHealthCo Hip Belt</v>
      </c>
      <c r="F19" t="str">
        <v>Ten Minutes to Put a Sock On</v>
      </c>
      <c r="G19" t="str">
        <v>The Daily Humiliation — micro-humiliation entry through the smallest daily movement</v>
      </c>
      <c r="H19" t="str">
        <v>Putting on a sock takes ten minutes — the accumulated micro-humiliations that add up to a quietly shrinking life</v>
      </c>
      <c r="I19" t="str">
        <v>The Silently Struggling Daily Sufferer</v>
      </c>
      <c r="J19" t="str">
        <v>Woman 50-70, hip pain in erosion phase, compensates quietly</v>
      </c>
      <c r="K19" t="str">
        <v>Problem-aware (in denial about severity)</v>
      </c>
      <c r="L19" t="str">
        <v>Stage 3 — New Mechanism</v>
      </c>
      <c r="M19" t="str">
        <v>Regain independence in daily micro-tasks without workarounds</v>
      </c>
      <c r="N19" t="str">
        <v>Reframe</v>
      </c>
      <c r="O19" t="str">
        <v>This is just getting older — each small struggle is too trivial to fix</v>
      </c>
      <c r="P19" t="str">
        <v>Starved soft tissue creating restriction — reversible with Deep Tissue Reset</v>
      </c>
      <c r="Q19" t="str">
        <v>Personal story + Dr. David Sime (22 yrs)</v>
      </c>
      <c r="R19" t="str">
        <v>L1</v>
      </c>
      <c r="S19" t="str">
        <v>AD 2</v>
      </c>
      <c r="T19" t="str">
        <v>Leading with the SMALLEST moment of pain (one sock, ten minutes) creates stronger identification than macro-pain because everyone with hip pain has this exact secret moment</v>
      </c>
      <c r="U19" t="str">
        <v>Micro-humiliation is universal but unspoken — naming it creates visceral scroll-stop</v>
      </c>
      <c r="X19" t="str">
        <v>Text Ad</v>
      </c>
      <c r="Y19" t="str">
        <v>#46 Text, long-form (~1,400-2,200 words)</v>
      </c>
      <c r="AA19" t="str">
        <v>Brief Done</v>
      </c>
      <c r="AB19" t="str">
        <v>https://www.facebook.com/61578413557917/posts/122179603544947118/</v>
      </c>
      <c r="AC19" t="str">
        <v>AD 2 "The 14 Month" — 30 purchases, 4x ROAS</v>
      </c>
      <c r="AF19" t="str">
        <v>Daily limitation — invisible tax on smallest movements</v>
      </c>
      <c r="AG19" t="str">
        <v>Deep Tissue Reset</v>
      </c>
    </row>
    <row r="20">
      <c r="A20" t="str">
        <v>HIP-NEW-25</v>
      </c>
      <c r="D20" t="str">
        <v>The Drawer of Things That Failed</v>
      </c>
      <c r="E20" t="str">
        <v>HeartHealthCo Hip Belt</v>
      </c>
      <c r="F20" t="str">
        <v>The Drawer of Things That Failed</v>
      </c>
      <c r="G20" t="str">
        <v>Accumulated Failure — the drawer of failed products as physical evidence of broken promises</v>
      </c>
      <c r="H20" t="str">
        <v>Every item in the drawer is a story of hope and disappointment — cumulative emotional weight, not singular crisis</v>
      </c>
      <c r="I20" t="str">
        <v>The Failed Solution Veteran</v>
      </c>
      <c r="J20" t="str">
        <v>Woman 55-65, post-menopausal, 5+ yrs hip pain, tried 5-10+ products</v>
      </c>
      <c r="K20" t="str">
        <v>Problem-aware, solution-sceptical</v>
      </c>
      <c r="L20" t="str">
        <v>Stage 4 — Proof through emotional truth</v>
      </c>
      <c r="M20" t="str">
        <v>Find something that actually works after years of failed products</v>
      </c>
      <c r="N20" t="str">
        <v>Reframe</v>
      </c>
      <c r="O20" t="str">
        <v>Nothing works — I've tried everything and have a drawer full of proof</v>
      </c>
      <c r="P20" t="str">
        <v>None of those things could have worked (symptoms only) — Deep Tissue Reset addresses root cause</v>
      </c>
      <c r="Q20" t="str">
        <v>Personal story + Dr. David Sime (22 yrs)</v>
      </c>
      <c r="R20" t="str">
        <v>L1</v>
      </c>
      <c r="S20" t="str">
        <v>AD 2</v>
      </c>
      <c r="T20" t="str">
        <v>Leading with accumulated evidence of failure (the drawer) produces higher engagement than a single crisis moment — target's defining state is exhaustion, not fear</v>
      </c>
      <c r="U20" t="str">
        <v>The drawer validates exhaustion — once trust is established, mechanism lands as answer to "why didn't any of it work?"</v>
      </c>
      <c r="X20" t="str">
        <v>Text Ad</v>
      </c>
      <c r="Y20" t="str">
        <v>#46 Text, long-form (~1,400-2,200 words)</v>
      </c>
      <c r="AA20" t="str">
        <v>Brief Done</v>
      </c>
      <c r="AB20" t="str">
        <v>https://www.facebook.com/61578413557917/posts/122179603544947118/</v>
      </c>
      <c r="AC20" t="str">
        <v>AD 2 "The 14 Month" — 30 purchases, 4x ROAS</v>
      </c>
      <c r="AF20" t="str">
        <v>Accumulated failure — wasted money, broken trust</v>
      </c>
      <c r="AG20" t="str">
        <v>Deep Tissue Reset</v>
      </c>
    </row>
    <row r="21">
      <c r="A21" t="str">
        <v>SH-NEW-26</v>
      </c>
      <c r="D21" t="str">
        <v>The Seatbelt Grab</v>
      </c>
      <c r="E21" t="str">
        <v>HeartHealthCo Shoulder Belt</v>
      </c>
      <c r="F21" t="str">
        <v>The Seatbelt Grab</v>
      </c>
      <c r="G21" t="str">
        <v>The Body's Veto — shoulder overrides the brain during ordinary across-body movements</v>
      </c>
      <c r="H21" t="str">
        <v>Autonomy loss — the seatbelt reach reveals a limitation managed privately, conditional pain creates hypervigilance</v>
      </c>
      <c r="I21" t="str">
        <v>The Ambushed Mover</v>
      </c>
      <c r="J21" t="str">
        <v>Woman/Man 45-70, conditional shoulder pain in across-body reaches</v>
      </c>
      <c r="K21" t="str">
        <v>Problem-aware</v>
      </c>
      <c r="L21" t="str">
        <v>Stage 3 — New Mechanism</v>
      </c>
      <c r="M21" t="str">
        <v>Regain trust in ordinary movements without hypervigilance</v>
      </c>
      <c r="N21" t="str">
        <v>Reframe</v>
      </c>
      <c r="O21" t="str">
        <v>Just my shoulder acting up — not constant enough to justify treatment</v>
      </c>
      <c r="P21" t="str">
        <v>Inflamed soft tissue seizing under load — Deep Tissue Reset breaks the cycle</v>
      </c>
      <c r="Q21" t="str">
        <v>Personal story + Dr. David Sime (22 yrs)</v>
      </c>
      <c r="R21" t="str">
        <v>L1</v>
      </c>
      <c r="S21" t="str">
        <v>AD 2</v>
      </c>
      <c r="T21" t="str">
        <v>The seatbelt-grab creates stronger identification than constant-pain framing because the AMBUSH quality is a different psychological experience (hypervigilance)</v>
      </c>
      <c r="U21" t="str">
        <v>Conditional, unpredictable pain creates anxiety around ordinary movements that constant-pain ads miss entirely</v>
      </c>
      <c r="X21" t="str">
        <v>Text Ad</v>
      </c>
      <c r="Y21" t="str">
        <v>#46 Text, long-form (~1,400-2,200 words)</v>
      </c>
      <c r="AA21" t="str">
        <v>Brief Done</v>
      </c>
      <c r="AB21" t="str">
        <v>https://www.facebook.com/61578413557917/posts/122179603544947118/</v>
      </c>
      <c r="AC21" t="str">
        <v>AD 2 "The 14 Month" — 30 purchases, 4x ROAS</v>
      </c>
      <c r="AF21" t="str">
        <v>Involuntary movement restriction — body vetoing movements</v>
      </c>
      <c r="AG21" t="str">
        <v>Deep Tissue Reset</v>
      </c>
    </row>
    <row r="22">
      <c r="A22" t="str">
        <v>SH-NEW-27</v>
      </c>
      <c r="D22" t="str">
        <v>She Does Things Carefully Now</v>
      </c>
      <c r="E22" t="str">
        <v>HeartHealthCo Shoulder Belt</v>
      </c>
      <c r="F22" t="str">
        <v>She Does Things Carefully Now</v>
      </c>
      <c r="G22" t="str">
        <v>The Partner's Eyes — pain told through relationship lens, being watched and seen as fragile</v>
      </c>
      <c r="H22" t="str">
        <v>Partner's observation amplifies pain — "you do everything carefully now" makes it undeniable and crosses from private to shared</v>
      </c>
      <c r="I22" t="str">
        <v>The Watched Partner</v>
      </c>
      <c r="J22" t="str">
        <v>Woman 48-68, shoulder pain changed movement patterns, partner noticed</v>
      </c>
      <c r="K22" t="str">
        <v>Problem-aware</v>
      </c>
      <c r="L22" t="str">
        <v>Stage 3 — New Mechanism</v>
      </c>
      <c r="M22" t="str">
        <v>Stop being seen as fragile by the person she loves</v>
      </c>
      <c r="N22" t="str">
        <v>Reframe</v>
      </c>
      <c r="O22" t="str">
        <v>I can manage this — just being careful, it's fine</v>
      </c>
      <c r="P22" t="str">
        <v>"Careful" is compensation for inflamed tissue — Deep Tissue Reset restores natural movement</v>
      </c>
      <c r="Q22" t="str">
        <v>Personal story + Dr. David Sime (22 yrs)</v>
      </c>
      <c r="R22" t="str">
        <v>L1</v>
      </c>
      <c r="S22" t="str">
        <v>AD 2</v>
      </c>
      <c r="T22" t="str">
        <v>Pain through a RELATIONSHIP lens (he notices, she sees him noticing) converts better than personal-experience lens because partner's gaze amplifies and makes it undeniable</v>
      </c>
      <c r="U22" t="str">
        <v>Being watched makes pain cross from private to shared — "I'm fine" when both know it's not true is a stronger action trigger than self-reported pain</v>
      </c>
      <c r="X22" t="str">
        <v>Text Ad</v>
      </c>
      <c r="Y22" t="str">
        <v>#46 Text, long-form (~1,400-2,200 words)</v>
      </c>
      <c r="AA22" t="str">
        <v>Brief Done</v>
      </c>
      <c r="AB22" t="str">
        <v>https://www.facebook.com/61578413557917/posts/122179603544947118/</v>
      </c>
      <c r="AC22" t="str">
        <v>AD 2 "The 14 Month" — 30 purchases, 4x ROAS</v>
      </c>
      <c r="AF22" t="str">
        <v>Relationship impact — being watched and seen as fragile</v>
      </c>
      <c r="AG22" t="str">
        <v>Deep Tissue Reset</v>
      </c>
    </row>
    <row r="402">
      <c r="A402" t="str">
        <v>Pasted from the DNA workbook's Test Plan at the start of the month. The writer works from this -- without it they are writing from a chat message, and at QA there is nothing to check the script against.</v>
      </c>
    </row>
  </sheetData>
  <autoFilter ref="$A$2:$AC$18"/>
  <hyperlinks>
    <hyperlink ref="AB3" r:id="rId1"/>
    <hyperlink ref="AD3" r:id="rId2"/>
    <hyperlink ref="AB4" r:id="rId3"/>
    <hyperlink ref="AD4" r:id="rId4"/>
    <hyperlink ref="AB5" r:id="rId5"/>
    <hyperlink ref="AD5" r:id="rId6"/>
    <hyperlink ref="AB6" r:id="rId7"/>
    <hyperlink ref="AD6" r:id="rId8"/>
    <hyperlink ref="AB7" r:id="rId9"/>
    <hyperlink ref="AD7" r:id="rId10"/>
    <hyperlink ref="AB8" r:id="rId11"/>
    <hyperlink ref="AD8" r:id="rId12"/>
    <hyperlink ref="AB9" r:id="rId13"/>
    <hyperlink ref="AD9" r:id="rId14"/>
    <hyperlink ref="AB10" r:id="rId15"/>
    <hyperlink ref="AD10" r:id="rId16"/>
    <hyperlink ref="AB11" r:id="rId17"/>
    <hyperlink ref="AD11" r:id="rId18"/>
    <hyperlink ref="AB12" r:id="rId19"/>
    <hyperlink ref="AD12" r:id="rId20"/>
    <hyperlink ref="AB13" r:id="rId21"/>
    <hyperlink ref="AD13" r:id="rId22"/>
    <hyperlink ref="AB14" r:id="rId23"/>
    <hyperlink ref="AD14" r:id="rId24"/>
    <hyperlink ref="AB15" r:id="rId25"/>
    <hyperlink ref="AD15" r:id="rId26"/>
    <hyperlink ref="AB16" r:id="rId27"/>
    <hyperlink ref="AD16" r:id="rId28"/>
    <hyperlink ref="AD17" r:id="rId29"/>
    <hyperlink ref="AB18" r:id="rId30"/>
    <hyperlink ref="AD18" r:id="rId31"/>
  </hyperlinks>
  <pageMargins left="0.75" right="0.75" top="1" bottom="1" header="0" footer="0"/>
  <ignoredErrors>
    <ignoredError numberStoredAsText="1" sqref="A1:AG10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1000"/>
  <sheetViews>
    <sheetView workbookViewId="0" rightToLeft="0"/>
  </sheetViews>
  <sheetData>
    <row r="1">
      <c r="A1" t="str">
        <v>IDENTITY</v>
      </c>
      <c r="H1" t="str">
        <v>ROUTE</v>
      </c>
      <c r="J1" t="str">
        <v>THE DNA</v>
      </c>
      <c r="AD1" t="str">
        <v>EXECUTION</v>
      </c>
      <c r="AM1" t="str">
        <v>OUTPUT</v>
      </c>
      <c r="AR1" t="str">
        <v>PRODUCTION</v>
      </c>
      <c r="AZ1" t="str">
        <v>REFERENCE</v>
      </c>
    </row>
    <row r="2">
      <c r="A2" t="str">
        <v>Naming</v>
      </c>
      <c r="B2" t="str">
        <v>USE CASE</v>
      </c>
      <c r="C2" t="str">
        <v>concept_id</v>
      </c>
      <c r="D2" t="str">
        <v>ICP</v>
      </c>
      <c r="E2" t="str">
        <v>version</v>
      </c>
      <c r="F2" t="str">
        <v>Angle</v>
      </c>
      <c r="G2" t="str">
        <v>status</v>
      </c>
      <c r="H2" t="str">
        <v>level</v>
      </c>
      <c r="I2" t="str">
        <v>parent_code</v>
      </c>
      <c r="J2" t="str">
        <v>angle</v>
      </c>
      <c r="K2" t="str">
        <v>angle_point</v>
      </c>
      <c r="L2" t="str">
        <v>core_message</v>
      </c>
      <c r="M2" t="str">
        <v>concept_creative</v>
      </c>
      <c r="N2" t="str">
        <v>concept_production</v>
      </c>
      <c r="O2" t="str">
        <v>avatar</v>
      </c>
      <c r="P2" t="str">
        <v>persona</v>
      </c>
      <c r="Q2" t="str">
        <v>pov</v>
      </c>
      <c r="R2" t="str">
        <v>close_icp</v>
      </c>
      <c r="S2" t="str">
        <v>desire_lf8</v>
      </c>
      <c r="T2" t="str">
        <v>desire_secondary</v>
      </c>
      <c r="U2" t="str">
        <v>awareness</v>
      </c>
      <c r="V2" t="str">
        <v>sophistication</v>
      </c>
      <c r="W2" t="str">
        <v>use_case</v>
      </c>
      <c r="X2" t="str">
        <v>belief_shift_type</v>
      </c>
      <c r="Y2" t="str">
        <v>belief_shift_from</v>
      </c>
      <c r="Z2" t="str">
        <v>belief_shift_to</v>
      </c>
      <c r="AA2" t="str">
        <v>socproof_primary</v>
      </c>
      <c r="AB2" t="str">
        <v>story_structure</v>
      </c>
      <c r="AC2" t="str">
        <v>story_shape</v>
      </c>
      <c r="AD2" t="str">
        <v>asset_type</v>
      </c>
      <c r="AE2" t="str">
        <v>format</v>
      </c>
      <c r="AF2" t="str">
        <v>lead_type</v>
      </c>
      <c r="AG2" t="str">
        <v>hook_type</v>
      </c>
      <c r="AH2" t="str">
        <v>headline/Lead hook</v>
      </c>
      <c r="AI2" t="str">
        <v>hook_3sec</v>
      </c>
      <c r="AJ2" t="str">
        <v>duration</v>
      </c>
      <c r="AK2" t="str">
        <v>delivery</v>
      </c>
      <c r="AL2" t="str">
        <v>word_count</v>
      </c>
      <c r="AM2" t="str">
        <v>full_script</v>
      </c>
      <c r="AN2" t="str">
        <v>image_role</v>
      </c>
      <c r="AO2" t="str">
        <v>image_idea</v>
      </c>
      <c r="AP2" t="str">
        <v>Image: Finished Ouput Link (Jenny)</v>
      </c>
      <c r="AQ2" t="str">
        <v>Scripts - Drive Link ( Output)</v>
      </c>
      <c r="AR2" t="str">
        <v>writer</v>
      </c>
      <c r="AS2" t="str">
        <v>due_date</v>
      </c>
      <c r="AT2" t="str">
        <v>qa_verdict</v>
      </c>
      <c r="AU2" t="str">
        <v>fail_count</v>
      </c>
      <c r="AV2" t="str">
        <v>routed_back_to</v>
      </c>
      <c r="AW2" t="str">
        <v>ship_date</v>
      </c>
      <c r="AX2" t="str">
        <v>file_path</v>
      </c>
      <c r="AY2" t="str">
        <v>notes</v>
      </c>
      <c r="AZ2" t="str">
        <v>ad_inspo_link</v>
      </c>
      <c r="BA2" t="str">
        <v>ad_inspo_note</v>
      </c>
      <c r="BB2" t="str">
        <v>gdrive_link</v>
      </c>
      <c r="BC2" t="str">
        <v>angle_id</v>
      </c>
      <c r="BD2" t="str">
        <v>hook_id</v>
      </c>
      <c r="BE2" t="str">
        <v>pain_cluster_id</v>
      </c>
    </row>
    <row r="3">
      <c r="G3" t="str">
        <v>Inprogress</v>
      </c>
      <c r="AD3" t="str">
        <v>native</v>
      </c>
      <c r="AI3" t="str">
        <v>N/A</v>
      </c>
      <c r="AJ3" t="str">
        <v>N/A</v>
      </c>
    </row>
    <row r="4">
      <c r="AV4" t="str">
        <f>IF(AU4="","",IF(AU4&gt;=3,"Stage 5 -- the angle is wrong",IF(AU4=2,"Stage 6 -- the concept is wrong",IF(AU4=1,"Stage 8 -- rewrite",""))))</f>
        <v/>
      </c>
    </row>
    <row r="5">
      <c r="AV5" t="str">
        <f>IF(AU5="","",IF(AU5&gt;=3,"Stage 5 -- the angle is wrong",IF(AU5=2,"Stage 6 -- the concept is wrong",IF(AU5=1,"Stage 8 -- rewrite",""))))</f>
        <v/>
      </c>
    </row>
    <row r="6">
      <c r="AV6" t="str">
        <f>IF(AU6="","",IF(AU6&gt;=3,"Stage 5 -- the angle is wrong",IF(AU6=2,"Stage 6 -- the concept is wrong",IF(AU6=1,"Stage 8 -- rewrite",""))))</f>
        <v/>
      </c>
    </row>
    <row r="7">
      <c r="AV7" t="str">
        <f>IF(AU7="","",IF(AU7&gt;=3,"Stage 5 -- the angle is wrong",IF(AU7=2,"Stage 6 -- the concept is wrong",IF(AU7=1,"Stage 8 -- rewrite",""))))</f>
        <v/>
      </c>
    </row>
    <row r="8">
      <c r="AV8" t="str">
        <f>IF(AU8="","",IF(AU8&gt;=3,"Stage 5 -- the angle is wrong",IF(AU8=2,"Stage 6 -- the concept is wrong",IF(AU8=1,"Stage 8 -- rewrite",""))))</f>
        <v/>
      </c>
    </row>
    <row r="9">
      <c r="AV9" t="str">
        <f>IF(AU9="","",IF(AU9&gt;=3,"Stage 5 -- the angle is wrong",IF(AU9=2,"Stage 6 -- the concept is wrong",IF(AU9=1,"Stage 8 -- rewrite",""))))</f>
        <v/>
      </c>
    </row>
    <row r="10">
      <c r="AV10" t="str">
        <f>IF(AU10="","",IF(AU10&gt;=3,"Stage 5 -- the angle is wrong",IF(AU10=2,"Stage 6 -- the concept is wrong",IF(AU10=1,"Stage 8 -- rewrite",""))))</f>
        <v/>
      </c>
    </row>
    <row r="11">
      <c r="AV11" t="str">
        <f>IF(AU11="","",IF(AU11&gt;=3,"Stage 5 -- the angle is wrong",IF(AU11=2,"Stage 6 -- the concept is wrong",IF(AU11=1,"Stage 8 -- rewrite",""))))</f>
        <v/>
      </c>
    </row>
    <row r="12">
      <c r="AV12" t="str">
        <f>IF(AU12="","",IF(AU12&gt;=3,"Stage 5 -- the angle is wrong",IF(AU12=2,"Stage 6 -- the concept is wrong",IF(AU12=1,"Stage 8 -- rewrite",""))))</f>
        <v/>
      </c>
    </row>
    <row r="13">
      <c r="AV13" t="str">
        <f>IF(AU13="","",IF(AU13&gt;=3,"Stage 5 -- the angle is wrong",IF(AU13=2,"Stage 6 -- the concept is wrong",IF(AU13=1,"Stage 8 -- rewrite",""))))</f>
        <v/>
      </c>
    </row>
    <row r="14">
      <c r="AV14" t="str">
        <f>IF(AU14="","",IF(AU14&gt;=3,"Stage 5 -- the angle is wrong",IF(AU14=2,"Stage 6 -- the concept is wrong",IF(AU14=1,"Stage 8 -- rewrite",""))))</f>
        <v/>
      </c>
    </row>
    <row r="15">
      <c r="AV15" t="str">
        <f>IF(AU15="","",IF(AU15&gt;=3,"Stage 5 -- the angle is wrong",IF(AU15=2,"Stage 6 -- the concept is wrong",IF(AU15=1,"Stage 8 -- rewrite",""))))</f>
        <v/>
      </c>
    </row>
    <row r="16">
      <c r="AV16" t="str">
        <f>IF(AU16="","",IF(AU16&gt;=3,"Stage 5 -- the angle is wrong",IF(AU16=2,"Stage 6 -- the concept is wrong",IF(AU16=1,"Stage 8 -- rewrite",""))))</f>
        <v/>
      </c>
    </row>
    <row r="17">
      <c r="AV17" t="str">
        <f>IF(AU17="","",IF(AU17&gt;=3,"Stage 5 -- the angle is wrong",IF(AU17=2,"Stage 6 -- the concept is wrong",IF(AU17=1,"Stage 8 -- rewrite",""))))</f>
        <v/>
      </c>
    </row>
    <row r="18">
      <c r="AV18" t="str">
        <f>IF(AU18="","",IF(AU18&gt;=3,"Stage 5 -- the angle is wrong",IF(AU18=2,"Stage 6 -- the concept is wrong",IF(AU18=1,"Stage 8 -- rewrite",""))))</f>
        <v/>
      </c>
    </row>
    <row r="19">
      <c r="AV19" t="str">
        <f>IF(AU19="","",IF(AU19&gt;=3,"Stage 5 -- the angle is wrong",IF(AU19=2,"Stage 6 -- the concept is wrong",IF(AU19=1,"Stage 8 -- rewrite",""))))</f>
        <v/>
      </c>
    </row>
    <row r="20">
      <c r="AV20" t="str">
        <f>IF(AU20="","",IF(AU20&gt;=3,"Stage 5 -- the angle is wrong",IF(AU20=2,"Stage 6 -- the concept is wrong",IF(AU20=1,"Stage 8 -- rewrite",""))))</f>
        <v/>
      </c>
    </row>
    <row r="21">
      <c r="AV21" t="str">
        <f>IF(AU21="","",IF(AU21&gt;=3,"Stage 5 -- the angle is wrong",IF(AU21=2,"Stage 6 -- the concept is wrong",IF(AU21=1,"Stage 8 -- rewrite",""))))</f>
        <v/>
      </c>
    </row>
    <row r="22">
      <c r="AV22" t="str">
        <f>IF(AU22="","",IF(AU22&gt;=3,"Stage 5 -- the angle is wrong",IF(AU22=2,"Stage 6 -- the concept is wrong",IF(AU22=1,"Stage 8 -- rewrite",""))))</f>
        <v/>
      </c>
    </row>
    <row r="23">
      <c r="AV23" t="str">
        <f>IF(AU23="","",IF(AU23&gt;=3,"Stage 5 -- the angle is wrong",IF(AU23=2,"Stage 6 -- the concept is wrong",IF(AU23=1,"Stage 8 -- rewrite",""))))</f>
        <v/>
      </c>
    </row>
    <row r="24">
      <c r="AV24" t="str">
        <f>IF(AU24="","",IF(AU24&gt;=3,"Stage 5 -- the angle is wrong",IF(AU24=2,"Stage 6 -- the concept is wrong",IF(AU24=1,"Stage 8 -- rewrite",""))))</f>
        <v/>
      </c>
    </row>
    <row r="25">
      <c r="AV25" t="str">
        <f>IF(AU25="","",IF(AU25&gt;=3,"Stage 5 -- the angle is wrong",IF(AU25=2,"Stage 6 -- the concept is wrong",IF(AU25=1,"Stage 8 -- rewrite",""))))</f>
        <v/>
      </c>
    </row>
    <row r="26">
      <c r="AV26" t="str">
        <f>IF(AU26="","",IF(AU26&gt;=3,"Stage 5 -- the angle is wrong",IF(AU26=2,"Stage 6 -- the concept is wrong",IF(AU26=1,"Stage 8 -- rewrite",""))))</f>
        <v/>
      </c>
    </row>
    <row r="27">
      <c r="AV27" t="str">
        <f>IF(AU27="","",IF(AU27&gt;=3,"Stage 5 -- the angle is wrong",IF(AU27=2,"Stage 6 -- the concept is wrong",IF(AU27=1,"Stage 8 -- rewrite",""))))</f>
        <v/>
      </c>
    </row>
    <row r="28">
      <c r="AV28" t="str">
        <f>IF(AU28="","",IF(AU28&gt;=3,"Stage 5 -- the angle is wrong",IF(AU28=2,"Stage 6 -- the concept is wrong",IF(AU28=1,"Stage 8 -- rewrite",""))))</f>
        <v/>
      </c>
    </row>
    <row r="29">
      <c r="AV29" t="str">
        <f>IF(AU29="","",IF(AU29&gt;=3,"Stage 5 -- the angle is wrong",IF(AU29=2,"Stage 6 -- the concept is wrong",IF(AU29=1,"Stage 8 -- rewrite",""))))</f>
        <v/>
      </c>
    </row>
    <row r="30">
      <c r="AV30" t="str">
        <f>IF(AU30="","",IF(AU30&gt;=3,"Stage 5 -- the angle is wrong",IF(AU30=2,"Stage 6 -- the concept is wrong",IF(AU30=1,"Stage 8 -- rewrite",""))))</f>
        <v/>
      </c>
    </row>
    <row r="31">
      <c r="AV31" t="str">
        <f>IF(AU31="","",IF(AU31&gt;=3,"Stage 5 -- the angle is wrong",IF(AU31=2,"Stage 6 -- the concept is wrong",IF(AU31=1,"Stage 8 -- rewrite",""))))</f>
        <v/>
      </c>
    </row>
    <row r="32">
      <c r="AV32" t="str">
        <f>IF(AU32="","",IF(AU32&gt;=3,"Stage 5 -- the angle is wrong",IF(AU32=2,"Stage 6 -- the concept is wrong",IF(AU32=1,"Stage 8 -- rewrite",""))))</f>
        <v/>
      </c>
    </row>
    <row r="33">
      <c r="AV33" t="str">
        <f>IF(AU33="","",IF(AU33&gt;=3,"Stage 5 -- the angle is wrong",IF(AU33=2,"Stage 6 -- the concept is wrong",IF(AU33=1,"Stage 8 -- rewrite",""))))</f>
        <v/>
      </c>
    </row>
    <row r="34">
      <c r="AV34" t="str">
        <f>IF(AU34="","",IF(AU34&gt;=3,"Stage 5 -- the angle is wrong",IF(AU34=2,"Stage 6 -- the concept is wrong",IF(AU34=1,"Stage 8 -- rewrite",""))))</f>
        <v/>
      </c>
    </row>
    <row r="35">
      <c r="AV35" t="str">
        <f>IF(AU35="","",IF(AU35&gt;=3,"Stage 5 -- the angle is wrong",IF(AU35=2,"Stage 6 -- the concept is wrong",IF(AU35=1,"Stage 8 -- rewrite",""))))</f>
        <v/>
      </c>
    </row>
    <row r="36">
      <c r="AV36" t="str">
        <f>IF(AU36="","",IF(AU36&gt;=3,"Stage 5 -- the angle is wrong",IF(AU36=2,"Stage 6 -- the concept is wrong",IF(AU36=1,"Stage 8 -- rewrite",""))))</f>
        <v/>
      </c>
    </row>
    <row r="37">
      <c r="AV37" t="str">
        <f>IF(AU37="","",IF(AU37&gt;=3,"Stage 5 -- the angle is wrong",IF(AU37=2,"Stage 6 -- the concept is wrong",IF(AU37=1,"Stage 8 -- rewrite",""))))</f>
        <v/>
      </c>
    </row>
    <row r="38">
      <c r="AV38" t="str">
        <f>IF(AU38="","",IF(AU38&gt;=3,"Stage 5 -- the angle is wrong",IF(AU38=2,"Stage 6 -- the concept is wrong",IF(AU38=1,"Stage 8 -- rewrite",""))))</f>
        <v/>
      </c>
    </row>
    <row r="39">
      <c r="AV39" t="str">
        <f>IF(AU39="","",IF(AU39&gt;=3,"Stage 5 -- the angle is wrong",IF(AU39=2,"Stage 6 -- the concept is wrong",IF(AU39=1,"Stage 8 -- rewrite",""))))</f>
        <v/>
      </c>
    </row>
    <row r="40">
      <c r="AV40" t="str">
        <f>IF(AU40="","",IF(AU40&gt;=3,"Stage 5 -- the angle is wrong",IF(AU40=2,"Stage 6 -- the concept is wrong",IF(AU40=1,"Stage 8 -- rewrite",""))))</f>
        <v/>
      </c>
    </row>
    <row r="41">
      <c r="AV41" t="str">
        <f>IF(AU41="","",IF(AU41&gt;=3,"Stage 5 -- the angle is wrong",IF(AU41=2,"Stage 6 -- the concept is wrong",IF(AU41=1,"Stage 8 -- rewrite",""))))</f>
        <v/>
      </c>
    </row>
    <row r="42">
      <c r="AV42" t="str">
        <f>IF(AU42="","",IF(AU42&gt;=3,"Stage 5 -- the angle is wrong",IF(AU42=2,"Stage 6 -- the concept is wrong",IF(AU42=1,"Stage 8 -- rewrite",""))))</f>
        <v/>
      </c>
    </row>
    <row r="43">
      <c r="AV43" t="str">
        <f>IF(AU43="","",IF(AU43&gt;=3,"Stage 5 -- the angle is wrong",IF(AU43=2,"Stage 6 -- the concept is wrong",IF(AU43=1,"Stage 8 -- rewrite",""))))</f>
        <v/>
      </c>
    </row>
    <row r="44">
      <c r="AV44" t="str">
        <f>IF(AU44="","",IF(AU44&gt;=3,"Stage 5 -- the angle is wrong",IF(AU44=2,"Stage 6 -- the concept is wrong",IF(AU44=1,"Stage 8 -- rewrite",""))))</f>
        <v/>
      </c>
    </row>
    <row r="45">
      <c r="AV45" t="str">
        <f>IF(AU45="","",IF(AU45&gt;=3,"Stage 5 -- the angle is wrong",IF(AU45=2,"Stage 6 -- the concept is wrong",IF(AU45=1,"Stage 8 -- rewrite",""))))</f>
        <v/>
      </c>
    </row>
    <row r="46">
      <c r="AV46" t="str">
        <f>IF(AU46="","",IF(AU46&gt;=3,"Stage 5 -- the angle is wrong",IF(AU46=2,"Stage 6 -- the concept is wrong",IF(AU46=1,"Stage 8 -- rewrite",""))))</f>
        <v/>
      </c>
    </row>
    <row r="47">
      <c r="AV47" t="str">
        <f>IF(AU47="","",IF(AU47&gt;=3,"Stage 5 -- the angle is wrong",IF(AU47=2,"Stage 6 -- the concept is wrong",IF(AU47=1,"Stage 8 -- rewrite",""))))</f>
        <v/>
      </c>
    </row>
    <row r="48">
      <c r="AV48" t="str">
        <f>IF(AU48="","",IF(AU48&gt;=3,"Stage 5 -- the angle is wrong",IF(AU48=2,"Stage 6 -- the concept is wrong",IF(AU48=1,"Stage 8 -- rewrite",""))))</f>
        <v/>
      </c>
    </row>
    <row r="49">
      <c r="AV49" t="str">
        <f>IF(AU49="","",IF(AU49&gt;=3,"Stage 5 -- the angle is wrong",IF(AU49=2,"Stage 6 -- the concept is wrong",IF(AU49=1,"Stage 8 -- rewrite",""))))</f>
        <v/>
      </c>
    </row>
    <row r="50">
      <c r="AV50" t="str">
        <f>IF(AU50="","",IF(AU50&gt;=3,"Stage 5 -- the angle is wrong",IF(AU50=2,"Stage 6 -- the concept is wrong",IF(AU50=1,"Stage 8 -- rewrite",""))))</f>
        <v/>
      </c>
    </row>
    <row r="51">
      <c r="AV51" t="str">
        <f>IF(AU51="","",IF(AU51&gt;=3,"Stage 5 -- the angle is wrong",IF(AU51=2,"Stage 6 -- the concept is wrong",IF(AU51=1,"Stage 8 -- rewrite",""))))</f>
        <v/>
      </c>
    </row>
    <row r="52">
      <c r="AV52" t="str">
        <f>IF(AU52="","",IF(AU52&gt;=3,"Stage 5 -- the angle is wrong",IF(AU52=2,"Stage 6 -- the concept is wrong",IF(AU52=1,"Stage 8 -- rewrite",""))))</f>
        <v/>
      </c>
    </row>
    <row r="53">
      <c r="AV53" t="str">
        <f>IF(AU53="","",IF(AU53&gt;=3,"Stage 5 -- the angle is wrong",IF(AU53=2,"Stage 6 -- the concept is wrong",IF(AU53=1,"Stage 8 -- rewrite",""))))</f>
        <v/>
      </c>
    </row>
    <row r="54">
      <c r="AV54" t="str">
        <f>IF(AU54="","",IF(AU54&gt;=3,"Stage 5 -- the angle is wrong",IF(AU54=2,"Stage 6 -- the concept is wrong",IF(AU54=1,"Stage 8 -- rewrite",""))))</f>
        <v/>
      </c>
    </row>
    <row r="55">
      <c r="AV55" t="str">
        <f>IF(AU55="","",IF(AU55&gt;=3,"Stage 5 -- the angle is wrong",IF(AU55=2,"Stage 6 -- the concept is wrong",IF(AU55=1,"Stage 8 -- rewrite",""))))</f>
        <v/>
      </c>
    </row>
    <row r="56">
      <c r="AV56" t="str">
        <f>IF(AU56="","",IF(AU56&gt;=3,"Stage 5 -- the angle is wrong",IF(AU56=2,"Stage 6 -- the concept is wrong",IF(AU56=1,"Stage 8 -- rewrite",""))))</f>
        <v/>
      </c>
    </row>
    <row r="57">
      <c r="AV57" t="str">
        <f>IF(AU57="","",IF(AU57&gt;=3,"Stage 5 -- the angle is wrong",IF(AU57=2,"Stage 6 -- the concept is wrong",IF(AU57=1,"Stage 8 -- rewrite",""))))</f>
        <v/>
      </c>
    </row>
    <row r="58">
      <c r="AV58" t="str">
        <f>IF(AU58="","",IF(AU58&gt;=3,"Stage 5 -- the angle is wrong",IF(AU58=2,"Stage 6 -- the concept is wrong",IF(AU58=1,"Stage 8 -- rewrite",""))))</f>
        <v/>
      </c>
    </row>
    <row r="59">
      <c r="AV59" t="str">
        <f>IF(AU59="","",IF(AU59&gt;=3,"Stage 5 -- the angle is wrong",IF(AU59=2,"Stage 6 -- the concept is wrong",IF(AU59=1,"Stage 8 -- rewrite",""))))</f>
        <v/>
      </c>
    </row>
    <row r="60">
      <c r="AV60" t="str">
        <f>IF(AU60="","",IF(AU60&gt;=3,"Stage 5 -- the angle is wrong",IF(AU60=2,"Stage 6 -- the concept is wrong",IF(AU60=1,"Stage 8 -- rewrite",""))))</f>
        <v/>
      </c>
    </row>
    <row r="61">
      <c r="AV61" t="str">
        <f>IF(AU61="","",IF(AU61&gt;=3,"Stage 5 -- the angle is wrong",IF(AU61=2,"Stage 6 -- the concept is wrong",IF(AU61=1,"Stage 8 -- rewrite",""))))</f>
        <v/>
      </c>
    </row>
    <row r="62">
      <c r="AV62" t="str">
        <f>IF(AU62="","",IF(AU62&gt;=3,"Stage 5 -- the angle is wrong",IF(AU62=2,"Stage 6 -- the concept is wrong",IF(AU62=1,"Stage 8 -- rewrite",""))))</f>
        <v/>
      </c>
    </row>
    <row r="63">
      <c r="AV63" t="str">
        <f>IF(AU63="","",IF(AU63&gt;=3,"Stage 5 -- the angle is wrong",IF(AU63=2,"Stage 6 -- the concept is wrong",IF(AU63=1,"Stage 8 -- rewrite",""))))</f>
        <v/>
      </c>
    </row>
    <row r="64">
      <c r="AV64" t="str">
        <f>IF(AU64="","",IF(AU64&gt;=3,"Stage 5 -- the angle is wrong",IF(AU64=2,"Stage 6 -- the concept is wrong",IF(AU64=1,"Stage 8 -- rewrite",""))))</f>
        <v/>
      </c>
    </row>
    <row r="65">
      <c r="AV65" t="str">
        <f>IF(AU65="","",IF(AU65&gt;=3,"Stage 5 -- the angle is wrong",IF(AU65=2,"Stage 6 -- the concept is wrong",IF(AU65=1,"Stage 8 -- rewrite",""))))</f>
        <v/>
      </c>
    </row>
    <row r="66">
      <c r="AV66" t="str">
        <f>IF(AU66="","",IF(AU66&gt;=3,"Stage 5 -- the angle is wrong",IF(AU66=2,"Stage 6 -- the concept is wrong",IF(AU66=1,"Stage 8 -- rewrite",""))))</f>
        <v/>
      </c>
    </row>
    <row r="67">
      <c r="AV67" t="str">
        <f>IF(AU67="","",IF(AU67&gt;=3,"Stage 5 -- the angle is wrong",IF(AU67=2,"Stage 6 -- the concept is wrong",IF(AU67=1,"Stage 8 -- rewrite",""))))</f>
        <v/>
      </c>
    </row>
    <row r="68">
      <c r="AV68" t="str">
        <f>IF(AU68="","",IF(AU68&gt;=3,"Stage 5 -- the angle is wrong",IF(AU68=2,"Stage 6 -- the concept is wrong",IF(AU68=1,"Stage 8 -- rewrite",""))))</f>
        <v/>
      </c>
    </row>
    <row r="69">
      <c r="AV69" t="str">
        <f>IF(AU69="","",IF(AU69&gt;=3,"Stage 5 -- the angle is wrong",IF(AU69=2,"Stage 6 -- the concept is wrong",IF(AU69=1,"Stage 8 -- rewrite",""))))</f>
        <v/>
      </c>
    </row>
    <row r="70">
      <c r="AV70" t="str">
        <f>IF(AU70="","",IF(AU70&gt;=3,"Stage 5 -- the angle is wrong",IF(AU70=2,"Stage 6 -- the concept is wrong",IF(AU70=1,"Stage 8 -- rewrite",""))))</f>
        <v/>
      </c>
    </row>
    <row r="71">
      <c r="AV71" t="str">
        <f>IF(AU71="","",IF(AU71&gt;=3,"Stage 5 -- the angle is wrong",IF(AU71=2,"Stage 6 -- the concept is wrong",IF(AU71=1,"Stage 8 -- rewrite",""))))</f>
        <v/>
      </c>
    </row>
    <row r="72">
      <c r="AV72" t="str">
        <f>IF(AU72="","",IF(AU72&gt;=3,"Stage 5 -- the angle is wrong",IF(AU72=2,"Stage 6 -- the concept is wrong",IF(AU72=1,"Stage 8 -- rewrite",""))))</f>
        <v/>
      </c>
    </row>
    <row r="73">
      <c r="AV73" t="str">
        <f>IF(AU73="","",IF(AU73&gt;=3,"Stage 5 -- the angle is wrong",IF(AU73=2,"Stage 6 -- the concept is wrong",IF(AU73=1,"Stage 8 -- rewrite",""))))</f>
        <v/>
      </c>
    </row>
    <row r="74">
      <c r="AV74" t="str">
        <f>IF(AU74="","",IF(AU74&gt;=3,"Stage 5 -- the angle is wrong",IF(AU74=2,"Stage 6 -- the concept is wrong",IF(AU74=1,"Stage 8 -- rewrite",""))))</f>
        <v/>
      </c>
    </row>
    <row r="75">
      <c r="AV75" t="str">
        <f>IF(AU75="","",IF(AU75&gt;=3,"Stage 5 -- the angle is wrong",IF(AU75=2,"Stage 6 -- the concept is wrong",IF(AU75=1,"Stage 8 -- rewrite",""))))</f>
        <v/>
      </c>
    </row>
    <row r="76">
      <c r="AV76" t="str">
        <f>IF(AU76="","",IF(AU76&gt;=3,"Stage 5 -- the angle is wrong",IF(AU76=2,"Stage 6 -- the concept is wrong",IF(AU76=1,"Stage 8 -- rewrite",""))))</f>
        <v/>
      </c>
    </row>
    <row r="77">
      <c r="AV77" t="str">
        <f>IF(AU77="","",IF(AU77&gt;=3,"Stage 5 -- the angle is wrong",IF(AU77=2,"Stage 6 -- the concept is wrong",IF(AU77=1,"Stage 8 -- rewrite",""))))</f>
        <v/>
      </c>
    </row>
    <row r="78">
      <c r="AV78" t="str">
        <f>IF(AU78="","",IF(AU78&gt;=3,"Stage 5 -- the angle is wrong",IF(AU78=2,"Stage 6 -- the concept is wrong",IF(AU78=1,"Stage 8 -- rewrite",""))))</f>
        <v/>
      </c>
    </row>
    <row r="79">
      <c r="AV79" t="str">
        <f>IF(AU79="","",IF(AU79&gt;=3,"Stage 5 -- the angle is wrong",IF(AU79=2,"Stage 6 -- the concept is wrong",IF(AU79=1,"Stage 8 -- rewrite",""))))</f>
        <v/>
      </c>
    </row>
    <row r="80">
      <c r="AV80" t="str">
        <f>IF(AU80="","",IF(AU80&gt;=3,"Stage 5 -- the angle is wrong",IF(AU80=2,"Stage 6 -- the concept is wrong",IF(AU80=1,"Stage 8 -- rewrite",""))))</f>
        <v/>
      </c>
    </row>
    <row r="81">
      <c r="AV81" t="str">
        <f>IF(AU81="","",IF(AU81&gt;=3,"Stage 5 -- the angle is wrong",IF(AU81=2,"Stage 6 -- the concept is wrong",IF(AU81=1,"Stage 8 -- rewrite",""))))</f>
        <v/>
      </c>
    </row>
    <row r="82">
      <c r="AV82" t="str">
        <f>IF(AU82="","",IF(AU82&gt;=3,"Stage 5 -- the angle is wrong",IF(AU82=2,"Stage 6 -- the concept is wrong",IF(AU82=1,"Stage 8 -- rewrite",""))))</f>
        <v/>
      </c>
    </row>
    <row r="83">
      <c r="AV83" t="str">
        <f>IF(AU83="","",IF(AU83&gt;=3,"Stage 5 -- the angle is wrong",IF(AU83=2,"Stage 6 -- the concept is wrong",IF(AU83=1,"Stage 8 -- rewrite",""))))</f>
        <v/>
      </c>
    </row>
    <row r="84">
      <c r="AV84" t="str">
        <f>IF(AU84="","",IF(AU84&gt;=3,"Stage 5 -- the angle is wrong",IF(AU84=2,"Stage 6 -- the concept is wrong",IF(AU84=1,"Stage 8 -- rewrite",""))))</f>
        <v/>
      </c>
    </row>
    <row r="85">
      <c r="AV85" t="str">
        <f>IF(AU85="","",IF(AU85&gt;=3,"Stage 5 -- the angle is wrong",IF(AU85=2,"Stage 6 -- the concept is wrong",IF(AU85=1,"Stage 8 -- rewrite",""))))</f>
        <v/>
      </c>
    </row>
    <row r="86">
      <c r="AV86" t="str">
        <f>IF(AU86="","",IF(AU86&gt;=3,"Stage 5 -- the angle is wrong",IF(AU86=2,"Stage 6 -- the concept is wrong",IF(AU86=1,"Stage 8 -- rewrite",""))))</f>
        <v/>
      </c>
    </row>
    <row r="87">
      <c r="AV87" t="str">
        <f>IF(AU87="","",IF(AU87&gt;=3,"Stage 5 -- the angle is wrong",IF(AU87=2,"Stage 6 -- the concept is wrong",IF(AU87=1,"Stage 8 -- rewrite",""))))</f>
        <v/>
      </c>
    </row>
    <row r="88">
      <c r="AV88" t="str">
        <f>IF(AU88="","",IF(AU88&gt;=3,"Stage 5 -- the angle is wrong",IF(AU88=2,"Stage 6 -- the concept is wrong",IF(AU88=1,"Stage 8 -- rewrite",""))))</f>
        <v/>
      </c>
    </row>
    <row r="89">
      <c r="AV89" t="str">
        <f>IF(AU89="","",IF(AU89&gt;=3,"Stage 5 -- the angle is wrong",IF(AU89=2,"Stage 6 -- the concept is wrong",IF(AU89=1,"Stage 8 -- rewrite",""))))</f>
        <v/>
      </c>
    </row>
    <row r="90">
      <c r="AV90" t="str">
        <f>IF(AU90="","",IF(AU90&gt;=3,"Stage 5 -- the angle is wrong",IF(AU90=2,"Stage 6 -- the concept is wrong",IF(AU90=1,"Stage 8 -- rewrite",""))))</f>
        <v/>
      </c>
    </row>
    <row r="91">
      <c r="AV91" t="str">
        <f>IF(AU91="","",IF(AU91&gt;=3,"Stage 5 -- the angle is wrong",IF(AU91=2,"Stage 6 -- the concept is wrong",IF(AU91=1,"Stage 8 -- rewrite",""))))</f>
        <v/>
      </c>
    </row>
    <row r="92">
      <c r="AV92" t="str">
        <f>IF(AU92="","",IF(AU92&gt;=3,"Stage 5 -- the angle is wrong",IF(AU92=2,"Stage 6 -- the concept is wrong",IF(AU92=1,"Stage 8 -- rewrite",""))))</f>
        <v/>
      </c>
    </row>
    <row r="93">
      <c r="AV93" t="str">
        <f>IF(AU93="","",IF(AU93&gt;=3,"Stage 5 -- the angle is wrong",IF(AU93=2,"Stage 6 -- the concept is wrong",IF(AU93=1,"Stage 8 -- rewrite",""))))</f>
        <v/>
      </c>
    </row>
    <row r="94">
      <c r="AV94" t="str">
        <f>IF(AU94="","",IF(AU94&gt;=3,"Stage 5 -- the angle is wrong",IF(AU94=2,"Stage 6 -- the concept is wrong",IF(AU94=1,"Stage 8 -- rewrite",""))))</f>
        <v/>
      </c>
    </row>
    <row r="95">
      <c r="AV95" t="str">
        <f>IF(AU95="","",IF(AU95&gt;=3,"Stage 5 -- the angle is wrong",IF(AU95=2,"Stage 6 -- the concept is wrong",IF(AU95=1,"Stage 8 -- rewrite",""))))</f>
        <v/>
      </c>
    </row>
    <row r="96">
      <c r="AV96" t="str">
        <f>IF(AU96="","",IF(AU96&gt;=3,"Stage 5 -- the angle is wrong",IF(AU96=2,"Stage 6 -- the concept is wrong",IF(AU96=1,"Stage 8 -- rewrite",""))))</f>
        <v/>
      </c>
    </row>
    <row r="97">
      <c r="AV97" t="str">
        <f>IF(AU97="","",IF(AU97&gt;=3,"Stage 5 -- the angle is wrong",IF(AU97=2,"Stage 6 -- the concept is wrong",IF(AU97=1,"Stage 8 -- rewrite",""))))</f>
        <v/>
      </c>
    </row>
    <row r="98">
      <c r="AV98" t="str">
        <f>IF(AU98="","",IF(AU98&gt;=3,"Stage 5 -- the angle is wrong",IF(AU98=2,"Stage 6 -- the concept is wrong",IF(AU98=1,"Stage 8 -- rewrite",""))))</f>
        <v/>
      </c>
    </row>
    <row r="99">
      <c r="AV99" t="str">
        <f>IF(AU99="","",IF(AU99&gt;=3,"Stage 5 -- the angle is wrong",IF(AU99=2,"Stage 6 -- the concept is wrong",IF(AU99=1,"Stage 8 -- rewrite",""))))</f>
        <v/>
      </c>
    </row>
    <row r="100">
      <c r="AV100" t="str">
        <f>IF(AU100="","",IF(AU100&gt;=3,"Stage 5 -- the angle is wrong",IF(AU100=2,"Stage 6 -- the concept is wrong",IF(AU100=1,"Stage 8 -- rewrite",""))))</f>
        <v/>
      </c>
    </row>
    <row r="101">
      <c r="AV101" t="str">
        <f>IF(AU101="","",IF(AU101&gt;=3,"Stage 5 -- the angle is wrong",IF(AU101=2,"Stage 6 -- the concept is wrong",IF(AU101=1,"Stage 8 -- rewrite",""))))</f>
        <v/>
      </c>
    </row>
    <row r="102">
      <c r="AV102" t="str">
        <f>IF(AU102="","",IF(AU102&gt;=3,"Stage 5 -- the angle is wrong",IF(AU102=2,"Stage 6 -- the concept is wrong",IF(AU102=1,"Stage 8 -- rewrite",""))))</f>
        <v/>
      </c>
    </row>
    <row r="103">
      <c r="AV103" t="str">
        <f>IF(AU103="","",IF(AU103&gt;=3,"Stage 5 -- the angle is wrong",IF(AU103=2,"Stage 6 -- the concept is wrong",IF(AU103=1,"Stage 8 -- rewrite",""))))</f>
        <v/>
      </c>
    </row>
    <row r="104">
      <c r="AV104" t="str">
        <f>IF(AU104="","",IF(AU104&gt;=3,"Stage 5 -- the angle is wrong",IF(AU104=2,"Stage 6 -- the concept is wrong",IF(AU104=1,"Stage 8 -- rewrite",""))))</f>
        <v/>
      </c>
    </row>
    <row r="105">
      <c r="AV105" t="str">
        <f>IF(AU105="","",IF(AU105&gt;=3,"Stage 5 -- the angle is wrong",IF(AU105=2,"Stage 6 -- the concept is wrong",IF(AU105=1,"Stage 8 -- rewrite",""))))</f>
        <v/>
      </c>
    </row>
    <row r="106">
      <c r="AV106" t="str">
        <f>IF(AU106="","",IF(AU106&gt;=3,"Stage 5 -- the angle is wrong",IF(AU106=2,"Stage 6 -- the concept is wrong",IF(AU106=1,"Stage 8 -- rewrite",""))))</f>
        <v/>
      </c>
    </row>
    <row r="107">
      <c r="AV107" t="str">
        <f>IF(AU107="","",IF(AU107&gt;=3,"Stage 5 -- the angle is wrong",IF(AU107=2,"Stage 6 -- the concept is wrong",IF(AU107=1,"Stage 8 -- rewrite",""))))</f>
        <v/>
      </c>
    </row>
    <row r="108">
      <c r="AV108" t="str">
        <f>IF(AU108="","",IF(AU108&gt;=3,"Stage 5 -- the angle is wrong",IF(AU108=2,"Stage 6 -- the concept is wrong",IF(AU108=1,"Stage 8 -- rewrite",""))))</f>
        <v/>
      </c>
    </row>
    <row r="109">
      <c r="AV109" t="str">
        <f>IF(AU109="","",IF(AU109&gt;=3,"Stage 5 -- the angle is wrong",IF(AU109=2,"Stage 6 -- the concept is wrong",IF(AU109=1,"Stage 8 -- rewrite",""))))</f>
        <v/>
      </c>
    </row>
    <row r="110">
      <c r="AV110" t="str">
        <f>IF(AU110="","",IF(AU110&gt;=3,"Stage 5 -- the angle is wrong",IF(AU110=2,"Stage 6 -- the concept is wrong",IF(AU110=1,"Stage 8 -- rewrite",""))))</f>
        <v/>
      </c>
    </row>
    <row r="111">
      <c r="AV111" t="str">
        <f>IF(AU111="","",IF(AU111&gt;=3,"Stage 5 -- the angle is wrong",IF(AU111=2,"Stage 6 -- the concept is wrong",IF(AU111=1,"Stage 8 -- rewrite",""))))</f>
        <v/>
      </c>
    </row>
    <row r="112">
      <c r="AV112" t="str">
        <f>IF(AU112="","",IF(AU112&gt;=3,"Stage 5 -- the angle is wrong",IF(AU112=2,"Stage 6 -- the concept is wrong",IF(AU112=1,"Stage 8 -- rewrite",""))))</f>
        <v/>
      </c>
    </row>
    <row r="113">
      <c r="AV113" t="str">
        <f>IF(AU113="","",IF(AU113&gt;=3,"Stage 5 -- the angle is wrong",IF(AU113=2,"Stage 6 -- the concept is wrong",IF(AU113=1,"Stage 8 -- rewrite",""))))</f>
        <v/>
      </c>
    </row>
    <row r="114">
      <c r="AV114" t="str">
        <f>IF(AU114="","",IF(AU114&gt;=3,"Stage 5 -- the angle is wrong",IF(AU114=2,"Stage 6 -- the concept is wrong",IF(AU114=1,"Stage 8 -- rewrite",""))))</f>
        <v/>
      </c>
    </row>
    <row r="115">
      <c r="AV115" t="str">
        <f>IF(AU115="","",IF(AU115&gt;=3,"Stage 5 -- the angle is wrong",IF(AU115=2,"Stage 6 -- the concept is wrong",IF(AU115=1,"Stage 8 -- rewrite",""))))</f>
        <v/>
      </c>
    </row>
    <row r="116">
      <c r="AV116" t="str">
        <f>IF(AU116="","",IF(AU116&gt;=3,"Stage 5 -- the angle is wrong",IF(AU116=2,"Stage 6 -- the concept is wrong",IF(AU116=1,"Stage 8 -- rewrite",""))))</f>
        <v/>
      </c>
    </row>
    <row r="117">
      <c r="AV117" t="str">
        <f>IF(AU117="","",IF(AU117&gt;=3,"Stage 5 -- the angle is wrong",IF(AU117=2,"Stage 6 -- the concept is wrong",IF(AU117=1,"Stage 8 -- rewrite",""))))</f>
        <v/>
      </c>
    </row>
    <row r="118">
      <c r="AV118" t="str">
        <f>IF(AU118="","",IF(AU118&gt;=3,"Stage 5 -- the angle is wrong",IF(AU118=2,"Stage 6 -- the concept is wrong",IF(AU118=1,"Stage 8 -- rewrite",""))))</f>
        <v/>
      </c>
    </row>
    <row r="119">
      <c r="AV119" t="str">
        <f>IF(AU119="","",IF(AU119&gt;=3,"Stage 5 -- the angle is wrong",IF(AU119=2,"Stage 6 -- the concept is wrong",IF(AU119=1,"Stage 8 -- rewrite",""))))</f>
        <v/>
      </c>
    </row>
    <row r="120">
      <c r="AV120" t="str">
        <f>IF(AU120="","",IF(AU120&gt;=3,"Stage 5 -- the angle is wrong",IF(AU120=2,"Stage 6 -- the concept is wrong",IF(AU120=1,"Stage 8 -- rewrite",""))))</f>
        <v/>
      </c>
    </row>
    <row r="121">
      <c r="AV121" t="str">
        <f>IF(AU121="","",IF(AU121&gt;=3,"Stage 5 -- the angle is wrong",IF(AU121=2,"Stage 6 -- the concept is wrong",IF(AU121=1,"Stage 8 -- rewrite",""))))</f>
        <v/>
      </c>
    </row>
    <row r="122">
      <c r="AV122" t="str">
        <f>IF(AU122="","",IF(AU122&gt;=3,"Stage 5 -- the angle is wrong",IF(AU122=2,"Stage 6 -- the concept is wrong",IF(AU122=1,"Stage 8 -- rewrite",""))))</f>
        <v/>
      </c>
    </row>
    <row r="123">
      <c r="AV123" t="str">
        <f>IF(AU123="","",IF(AU123&gt;=3,"Stage 5 -- the angle is wrong",IF(AU123=2,"Stage 6 -- the concept is wrong",IF(AU123=1,"Stage 8 -- rewrite",""))))</f>
        <v/>
      </c>
    </row>
    <row r="124">
      <c r="AV124" t="str">
        <f>IF(AU124="","",IF(AU124&gt;=3,"Stage 5 -- the angle is wrong",IF(AU124=2,"Stage 6 -- the concept is wrong",IF(AU124=1,"Stage 8 -- rewrite",""))))</f>
        <v/>
      </c>
    </row>
    <row r="125">
      <c r="AV125" t="str">
        <f>IF(AU125="","",IF(AU125&gt;=3,"Stage 5 -- the angle is wrong",IF(AU125=2,"Stage 6 -- the concept is wrong",IF(AU125=1,"Stage 8 -- rewrite",""))))</f>
        <v/>
      </c>
    </row>
    <row r="126">
      <c r="AV126" t="str">
        <f>IF(AU126="","",IF(AU126&gt;=3,"Stage 5 -- the angle is wrong",IF(AU126=2,"Stage 6 -- the concept is wrong",IF(AU126=1,"Stage 8 -- rewrite",""))))</f>
        <v/>
      </c>
    </row>
    <row r="127">
      <c r="AV127" t="str">
        <f>IF(AU127="","",IF(AU127&gt;=3,"Stage 5 -- the angle is wrong",IF(AU127=2,"Stage 6 -- the concept is wrong",IF(AU127=1,"Stage 8 -- rewrite",""))))</f>
        <v/>
      </c>
    </row>
    <row r="128">
      <c r="AV128" t="str">
        <f>IF(AU128="","",IF(AU128&gt;=3,"Stage 5 -- the angle is wrong",IF(AU128=2,"Stage 6 -- the concept is wrong",IF(AU128=1,"Stage 8 -- rewrite",""))))</f>
        <v/>
      </c>
    </row>
    <row r="129">
      <c r="AV129" t="str">
        <f>IF(AU129="","",IF(AU129&gt;=3,"Stage 5 -- the angle is wrong",IF(AU129=2,"Stage 6 -- the concept is wrong",IF(AU129=1,"Stage 8 -- rewrite",""))))</f>
        <v/>
      </c>
    </row>
    <row r="130">
      <c r="AV130" t="str">
        <f>IF(AU130="","",IF(AU130&gt;=3,"Stage 5 -- the angle is wrong",IF(AU130=2,"Stage 6 -- the concept is wrong",IF(AU130=1,"Stage 8 -- rewrite",""))))</f>
        <v/>
      </c>
    </row>
    <row r="131">
      <c r="AV131" t="str">
        <f>IF(AU131="","",IF(AU131&gt;=3,"Stage 5 -- the angle is wrong",IF(AU131=2,"Stage 6 -- the concept is wrong",IF(AU131=1,"Stage 8 -- rewrite",""))))</f>
        <v/>
      </c>
    </row>
    <row r="132">
      <c r="AV132" t="str">
        <f>IF(AU132="","",IF(AU132&gt;=3,"Stage 5 -- the angle is wrong",IF(AU132=2,"Stage 6 -- the concept is wrong",IF(AU132=1,"Stage 8 -- rewrite",""))))</f>
        <v/>
      </c>
    </row>
    <row r="133">
      <c r="AV133" t="str">
        <f>IF(AU133="","",IF(AU133&gt;=3,"Stage 5 -- the angle is wrong",IF(AU133=2,"Stage 6 -- the concept is wrong",IF(AU133=1,"Stage 8 -- rewrite",""))))</f>
        <v/>
      </c>
    </row>
    <row r="134">
      <c r="AV134" t="str">
        <f>IF(AU134="","",IF(AU134&gt;=3,"Stage 5 -- the angle is wrong",IF(AU134=2,"Stage 6 -- the concept is wrong",IF(AU134=1,"Stage 8 -- rewrite",""))))</f>
        <v/>
      </c>
    </row>
    <row r="135">
      <c r="AV135" t="str">
        <f>IF(AU135="","",IF(AU135&gt;=3,"Stage 5 -- the angle is wrong",IF(AU135=2,"Stage 6 -- the concept is wrong",IF(AU135=1,"Stage 8 -- rewrite",""))))</f>
        <v/>
      </c>
    </row>
    <row r="136">
      <c r="AV136" t="str">
        <f>IF(AU136="","",IF(AU136&gt;=3,"Stage 5 -- the angle is wrong",IF(AU136=2,"Stage 6 -- the concept is wrong",IF(AU136=1,"Stage 8 -- rewrite",""))))</f>
        <v/>
      </c>
    </row>
    <row r="137">
      <c r="AV137" t="str">
        <f>IF(AU137="","",IF(AU137&gt;=3,"Stage 5 -- the angle is wrong",IF(AU137=2,"Stage 6 -- the concept is wrong",IF(AU137=1,"Stage 8 -- rewrite",""))))</f>
        <v/>
      </c>
    </row>
    <row r="138">
      <c r="AV138" t="str">
        <f>IF(AU138="","",IF(AU138&gt;=3,"Stage 5 -- the angle is wrong",IF(AU138=2,"Stage 6 -- the concept is wrong",IF(AU138=1,"Stage 8 -- rewrite",""))))</f>
        <v/>
      </c>
    </row>
    <row r="139">
      <c r="AV139" t="str">
        <f>IF(AU139="","",IF(AU139&gt;=3,"Stage 5 -- the angle is wrong",IF(AU139=2,"Stage 6 -- the concept is wrong",IF(AU139=1,"Stage 8 -- rewrite",""))))</f>
        <v/>
      </c>
    </row>
    <row r="140">
      <c r="AV140" t="str">
        <f>IF(AU140="","",IF(AU140&gt;=3,"Stage 5 -- the angle is wrong",IF(AU140=2,"Stage 6 -- the concept is wrong",IF(AU140=1,"Stage 8 -- rewrite",""))))</f>
        <v/>
      </c>
    </row>
    <row r="141">
      <c r="AV141" t="str">
        <f>IF(AU141="","",IF(AU141&gt;=3,"Stage 5 -- the angle is wrong",IF(AU141=2,"Stage 6 -- the concept is wrong",IF(AU141=1,"Stage 8 -- rewrite",""))))</f>
        <v/>
      </c>
    </row>
    <row r="142">
      <c r="AV142" t="str">
        <f>IF(AU142="","",IF(AU142&gt;=3,"Stage 5 -- the angle is wrong",IF(AU142=2,"Stage 6 -- the concept is wrong",IF(AU142=1,"Stage 8 -- rewrite",""))))</f>
        <v/>
      </c>
    </row>
    <row r="143">
      <c r="AV143" t="str">
        <f>IF(AU143="","",IF(AU143&gt;=3,"Stage 5 -- the angle is wrong",IF(AU143=2,"Stage 6 -- the concept is wrong",IF(AU143=1,"Stage 8 -- rewrite",""))))</f>
        <v/>
      </c>
    </row>
    <row r="144">
      <c r="AV144" t="str">
        <f>IF(AU144="","",IF(AU144&gt;=3,"Stage 5 -- the angle is wrong",IF(AU144=2,"Stage 6 -- the concept is wrong",IF(AU144=1,"Stage 8 -- rewrite",""))))</f>
        <v/>
      </c>
    </row>
    <row r="145">
      <c r="AV145" t="str">
        <f>IF(AU145="","",IF(AU145&gt;=3,"Stage 5 -- the angle is wrong",IF(AU145=2,"Stage 6 -- the concept is wrong",IF(AU145=1,"Stage 8 -- rewrite",""))))</f>
        <v/>
      </c>
    </row>
    <row r="146">
      <c r="AV146" t="str">
        <f>IF(AU146="","",IF(AU146&gt;=3,"Stage 5 -- the angle is wrong",IF(AU146=2,"Stage 6 -- the concept is wrong",IF(AU146=1,"Stage 8 -- rewrite",""))))</f>
        <v/>
      </c>
    </row>
    <row r="147">
      <c r="AV147" t="str">
        <f>IF(AU147="","",IF(AU147&gt;=3,"Stage 5 -- the angle is wrong",IF(AU147=2,"Stage 6 -- the concept is wrong",IF(AU147=1,"Stage 8 -- rewrite",""))))</f>
        <v/>
      </c>
    </row>
    <row r="148">
      <c r="AV148" t="str">
        <f>IF(AU148="","",IF(AU148&gt;=3,"Stage 5 -- the angle is wrong",IF(AU148=2,"Stage 6 -- the concept is wrong",IF(AU148=1,"Stage 8 -- rewrite",""))))</f>
        <v/>
      </c>
    </row>
    <row r="149">
      <c r="AV149" t="str">
        <f>IF(AU149="","",IF(AU149&gt;=3,"Stage 5 -- the angle is wrong",IF(AU149=2,"Stage 6 -- the concept is wrong",IF(AU149=1,"Stage 8 -- rewrite",""))))</f>
        <v/>
      </c>
    </row>
    <row r="150">
      <c r="AV150" t="str">
        <f>IF(AU150="","",IF(AU150&gt;=3,"Stage 5 -- the angle is wrong",IF(AU150=2,"Stage 6 -- the concept is wrong",IF(AU150=1,"Stage 8 -- rewrite",""))))</f>
        <v/>
      </c>
    </row>
    <row r="151">
      <c r="AV151" t="str">
        <f>IF(AU151="","",IF(AU151&gt;=3,"Stage 5 -- the angle is wrong",IF(AU151=2,"Stage 6 -- the concept is wrong",IF(AU151=1,"Stage 8 -- rewrite",""))))</f>
        <v/>
      </c>
    </row>
    <row r="152">
      <c r="AV152" t="str">
        <f>IF(AU152="","",IF(AU152&gt;=3,"Stage 5 -- the angle is wrong",IF(AU152=2,"Stage 6 -- the concept is wrong",IF(AU152=1,"Stage 8 -- rewrite",""))))</f>
        <v/>
      </c>
    </row>
    <row r="153">
      <c r="AV153" t="str">
        <f>IF(AU153="","",IF(AU153&gt;=3,"Stage 5 -- the angle is wrong",IF(AU153=2,"Stage 6 -- the concept is wrong",IF(AU153=1,"Stage 8 -- rewrite",""))))</f>
        <v/>
      </c>
    </row>
    <row r="154">
      <c r="AV154" t="str">
        <f>IF(AU154="","",IF(AU154&gt;=3,"Stage 5 -- the angle is wrong",IF(AU154=2,"Stage 6 -- the concept is wrong",IF(AU154=1,"Stage 8 -- rewrite",""))))</f>
        <v/>
      </c>
    </row>
    <row r="155">
      <c r="AV155" t="str">
        <f>IF(AU155="","",IF(AU155&gt;=3,"Stage 5 -- the angle is wrong",IF(AU155=2,"Stage 6 -- the concept is wrong",IF(AU155=1,"Stage 8 -- rewrite",""))))</f>
        <v/>
      </c>
    </row>
    <row r="156">
      <c r="AV156" t="str">
        <f>IF(AU156="","",IF(AU156&gt;=3,"Stage 5 -- the angle is wrong",IF(AU156=2,"Stage 6 -- the concept is wrong",IF(AU156=1,"Stage 8 -- rewrite",""))))</f>
        <v/>
      </c>
    </row>
    <row r="157">
      <c r="AV157" t="str">
        <f>IF(AU157="","",IF(AU157&gt;=3,"Stage 5 -- the angle is wrong",IF(AU157=2,"Stage 6 -- the concept is wrong",IF(AU157=1,"Stage 8 -- rewrite",""))))</f>
        <v/>
      </c>
    </row>
    <row r="158">
      <c r="AV158" t="str">
        <f>IF(AU158="","",IF(AU158&gt;=3,"Stage 5 -- the angle is wrong",IF(AU158=2,"Stage 6 -- the concept is wrong",IF(AU158=1,"Stage 8 -- rewrite",""))))</f>
        <v/>
      </c>
    </row>
    <row r="159">
      <c r="AV159" t="str">
        <f>IF(AU159="","",IF(AU159&gt;=3,"Stage 5 -- the angle is wrong",IF(AU159=2,"Stage 6 -- the concept is wrong",IF(AU159=1,"Stage 8 -- rewrite",""))))</f>
        <v/>
      </c>
    </row>
    <row r="160">
      <c r="AV160" t="str">
        <f>IF(AU160="","",IF(AU160&gt;=3,"Stage 5 -- the angle is wrong",IF(AU160=2,"Stage 6 -- the concept is wrong",IF(AU160=1,"Stage 8 -- rewrite",""))))</f>
        <v/>
      </c>
    </row>
    <row r="161">
      <c r="AV161" t="str">
        <f>IF(AU161="","",IF(AU161&gt;=3,"Stage 5 -- the angle is wrong",IF(AU161=2,"Stage 6 -- the concept is wrong",IF(AU161=1,"Stage 8 -- rewrite",""))))</f>
        <v/>
      </c>
    </row>
    <row r="162">
      <c r="AV162" t="str">
        <f>IF(AU162="","",IF(AU162&gt;=3,"Stage 5 -- the angle is wrong",IF(AU162=2,"Stage 6 -- the concept is wrong",IF(AU162=1,"Stage 8 -- rewrite",""))))</f>
        <v/>
      </c>
    </row>
    <row r="163">
      <c r="AV163" t="str">
        <f>IF(AU163="","",IF(AU163&gt;=3,"Stage 5 -- the angle is wrong",IF(AU163=2,"Stage 6 -- the concept is wrong",IF(AU163=1,"Stage 8 -- rewrite",""))))</f>
        <v/>
      </c>
    </row>
    <row r="164">
      <c r="AV164" t="str">
        <f>IF(AU164="","",IF(AU164&gt;=3,"Stage 5 -- the angle is wrong",IF(AU164=2,"Stage 6 -- the concept is wrong",IF(AU164=1,"Stage 8 -- rewrite",""))))</f>
        <v/>
      </c>
    </row>
    <row r="165">
      <c r="AV165" t="str">
        <f>IF(AU165="","",IF(AU165&gt;=3,"Stage 5 -- the angle is wrong",IF(AU165=2,"Stage 6 -- the concept is wrong",IF(AU165=1,"Stage 8 -- rewrite",""))))</f>
        <v/>
      </c>
    </row>
    <row r="166">
      <c r="AV166" t="str">
        <f>IF(AU166="","",IF(AU166&gt;=3,"Stage 5 -- the angle is wrong",IF(AU166=2,"Stage 6 -- the concept is wrong",IF(AU166=1,"Stage 8 -- rewrite",""))))</f>
        <v/>
      </c>
    </row>
    <row r="167">
      <c r="AV167" t="str">
        <f>IF(AU167="","",IF(AU167&gt;=3,"Stage 5 -- the angle is wrong",IF(AU167=2,"Stage 6 -- the concept is wrong",IF(AU167=1,"Stage 8 -- rewrite",""))))</f>
        <v/>
      </c>
    </row>
    <row r="168">
      <c r="AV168" t="str">
        <f>IF(AU168="","",IF(AU168&gt;=3,"Stage 5 -- the angle is wrong",IF(AU168=2,"Stage 6 -- the concept is wrong",IF(AU168=1,"Stage 8 -- rewrite",""))))</f>
        <v/>
      </c>
    </row>
    <row r="169">
      <c r="AV169" t="str">
        <f>IF(AU169="","",IF(AU169&gt;=3,"Stage 5 -- the angle is wrong",IF(AU169=2,"Stage 6 -- the concept is wrong",IF(AU169=1,"Stage 8 -- rewrite",""))))</f>
        <v/>
      </c>
    </row>
    <row r="170">
      <c r="AV170" t="str">
        <f>IF(AU170="","",IF(AU170&gt;=3,"Stage 5 -- the angle is wrong",IF(AU170=2,"Stage 6 -- the concept is wrong",IF(AU170=1,"Stage 8 -- rewrite",""))))</f>
        <v/>
      </c>
    </row>
    <row r="171">
      <c r="AV171" t="str">
        <f>IF(AU171="","",IF(AU171&gt;=3,"Stage 5 -- the angle is wrong",IF(AU171=2,"Stage 6 -- the concept is wrong",IF(AU171=1,"Stage 8 -- rewrite",""))))</f>
        <v/>
      </c>
    </row>
    <row r="172">
      <c r="AV172" t="str">
        <f>IF(AU172="","",IF(AU172&gt;=3,"Stage 5 -- the angle is wrong",IF(AU172=2,"Stage 6 -- the concept is wrong",IF(AU172=1,"Stage 8 -- rewrite",""))))</f>
        <v/>
      </c>
    </row>
    <row r="173">
      <c r="AV173" t="str">
        <f>IF(AU173="","",IF(AU173&gt;=3,"Stage 5 -- the angle is wrong",IF(AU173=2,"Stage 6 -- the concept is wrong",IF(AU173=1,"Stage 8 -- rewrite",""))))</f>
        <v/>
      </c>
    </row>
    <row r="174">
      <c r="AV174" t="str">
        <f>IF(AU174="","",IF(AU174&gt;=3,"Stage 5 -- the angle is wrong",IF(AU174=2,"Stage 6 -- the concept is wrong",IF(AU174=1,"Stage 8 -- rewrite",""))))</f>
        <v/>
      </c>
    </row>
    <row r="175">
      <c r="AV175" t="str">
        <f>IF(AU175="","",IF(AU175&gt;=3,"Stage 5 -- the angle is wrong",IF(AU175=2,"Stage 6 -- the concept is wrong",IF(AU175=1,"Stage 8 -- rewrite",""))))</f>
        <v/>
      </c>
    </row>
    <row r="176">
      <c r="AV176" t="str">
        <f>IF(AU176="","",IF(AU176&gt;=3,"Stage 5 -- the angle is wrong",IF(AU176=2,"Stage 6 -- the concept is wrong",IF(AU176=1,"Stage 8 -- rewrite",""))))</f>
        <v/>
      </c>
    </row>
    <row r="177">
      <c r="AV177" t="str">
        <f>IF(AU177="","",IF(AU177&gt;=3,"Stage 5 -- the angle is wrong",IF(AU177=2,"Stage 6 -- the concept is wrong",IF(AU177=1,"Stage 8 -- rewrite",""))))</f>
        <v/>
      </c>
    </row>
    <row r="178">
      <c r="AV178" t="str">
        <f>IF(AU178="","",IF(AU178&gt;=3,"Stage 5 -- the angle is wrong",IF(AU178=2,"Stage 6 -- the concept is wrong",IF(AU178=1,"Stage 8 -- rewrite",""))))</f>
        <v/>
      </c>
    </row>
    <row r="179">
      <c r="AV179" t="str">
        <f>IF(AU179="","",IF(AU179&gt;=3,"Stage 5 -- the angle is wrong",IF(AU179=2,"Stage 6 -- the concept is wrong",IF(AU179=1,"Stage 8 -- rewrite",""))))</f>
        <v/>
      </c>
    </row>
    <row r="180">
      <c r="AV180" t="str">
        <f>IF(AU180="","",IF(AU180&gt;=3,"Stage 5 -- the angle is wrong",IF(AU180=2,"Stage 6 -- the concept is wrong",IF(AU180=1,"Stage 8 -- rewrite",""))))</f>
        <v/>
      </c>
    </row>
    <row r="181">
      <c r="AV181" t="str">
        <f>IF(AU181="","",IF(AU181&gt;=3,"Stage 5 -- the angle is wrong",IF(AU181=2,"Stage 6 -- the concept is wrong",IF(AU181=1,"Stage 8 -- rewrite",""))))</f>
        <v/>
      </c>
    </row>
    <row r="182">
      <c r="AV182" t="str">
        <f>IF(AU182="","",IF(AU182&gt;=3,"Stage 5 -- the angle is wrong",IF(AU182=2,"Stage 6 -- the concept is wrong",IF(AU182=1,"Stage 8 -- rewrite",""))))</f>
        <v/>
      </c>
    </row>
    <row r="183">
      <c r="AV183" t="str">
        <f>IF(AU183="","",IF(AU183&gt;=3,"Stage 5 -- the angle is wrong",IF(AU183=2,"Stage 6 -- the concept is wrong",IF(AU183=1,"Stage 8 -- rewrite",""))))</f>
        <v/>
      </c>
    </row>
    <row r="184">
      <c r="AV184" t="str">
        <f>IF(AU184="","",IF(AU184&gt;=3,"Stage 5 -- the angle is wrong",IF(AU184=2,"Stage 6 -- the concept is wrong",IF(AU184=1,"Stage 8 -- rewrite",""))))</f>
        <v/>
      </c>
    </row>
    <row r="185">
      <c r="AV185" t="str">
        <f>IF(AU185="","",IF(AU185&gt;=3,"Stage 5 -- the angle is wrong",IF(AU185=2,"Stage 6 -- the concept is wrong",IF(AU185=1,"Stage 8 -- rewrite",""))))</f>
        <v/>
      </c>
    </row>
    <row r="186">
      <c r="AV186" t="str">
        <f>IF(AU186="","",IF(AU186&gt;=3,"Stage 5 -- the angle is wrong",IF(AU186=2,"Stage 6 -- the concept is wrong",IF(AU186=1,"Stage 8 -- rewrite",""))))</f>
        <v/>
      </c>
    </row>
    <row r="187">
      <c r="AV187" t="str">
        <f>IF(AU187="","",IF(AU187&gt;=3,"Stage 5 -- the angle is wrong",IF(AU187=2,"Stage 6 -- the concept is wrong",IF(AU187=1,"Stage 8 -- rewrite",""))))</f>
        <v/>
      </c>
    </row>
    <row r="188">
      <c r="AV188" t="str">
        <f>IF(AU188="","",IF(AU188&gt;=3,"Stage 5 -- the angle is wrong",IF(AU188=2,"Stage 6 -- the concept is wrong",IF(AU188=1,"Stage 8 -- rewrite",""))))</f>
        <v/>
      </c>
    </row>
    <row r="189">
      <c r="AV189" t="str">
        <f>IF(AU189="","",IF(AU189&gt;=3,"Stage 5 -- the angle is wrong",IF(AU189=2,"Stage 6 -- the concept is wrong",IF(AU189=1,"Stage 8 -- rewrite",""))))</f>
        <v/>
      </c>
    </row>
    <row r="190">
      <c r="AV190" t="str">
        <f>IF(AU190="","",IF(AU190&gt;=3,"Stage 5 -- the angle is wrong",IF(AU190=2,"Stage 6 -- the concept is wrong",IF(AU190=1,"Stage 8 -- rewrite",""))))</f>
        <v/>
      </c>
    </row>
    <row r="191">
      <c r="AV191" t="str">
        <f>IF(AU191="","",IF(AU191&gt;=3,"Stage 5 -- the angle is wrong",IF(AU191=2,"Stage 6 -- the concept is wrong",IF(AU191=1,"Stage 8 -- rewrite",""))))</f>
        <v/>
      </c>
    </row>
    <row r="192">
      <c r="AV192" t="str">
        <f>IF(AU192="","",IF(AU192&gt;=3,"Stage 5 -- the angle is wrong",IF(AU192=2,"Stage 6 -- the concept is wrong",IF(AU192=1,"Stage 8 -- rewrite",""))))</f>
        <v/>
      </c>
    </row>
    <row r="193">
      <c r="AV193" t="str">
        <f>IF(AU193="","",IF(AU193&gt;=3,"Stage 5 -- the angle is wrong",IF(AU193=2,"Stage 6 -- the concept is wrong",IF(AU193=1,"Stage 8 -- rewrite",""))))</f>
        <v/>
      </c>
    </row>
    <row r="194">
      <c r="AV194" t="str">
        <f>IF(AU194="","",IF(AU194&gt;=3,"Stage 5 -- the angle is wrong",IF(AU194=2,"Stage 6 -- the concept is wrong",IF(AU194=1,"Stage 8 -- rewrite",""))))</f>
        <v/>
      </c>
    </row>
    <row r="195">
      <c r="AV195" t="str">
        <f>IF(AU195="","",IF(AU195&gt;=3,"Stage 5 -- the angle is wrong",IF(AU195=2,"Stage 6 -- the concept is wrong",IF(AU195=1,"Stage 8 -- rewrite",""))))</f>
        <v/>
      </c>
    </row>
    <row r="196">
      <c r="AV196" t="str">
        <f>IF(AU196="","",IF(AU196&gt;=3,"Stage 5 -- the angle is wrong",IF(AU196=2,"Stage 6 -- the concept is wrong",IF(AU196=1,"Stage 8 -- rewrite",""))))</f>
        <v/>
      </c>
    </row>
    <row r="197">
      <c r="AV197" t="str">
        <f>IF(AU197="","",IF(AU197&gt;=3,"Stage 5 -- the angle is wrong",IF(AU197=2,"Stage 6 -- the concept is wrong",IF(AU197=1,"Stage 8 -- rewrite",""))))</f>
        <v/>
      </c>
    </row>
    <row r="198">
      <c r="AV198" t="str">
        <f>IF(AU198="","",IF(AU198&gt;=3,"Stage 5 -- the angle is wrong",IF(AU198=2,"Stage 6 -- the concept is wrong",IF(AU198=1,"Stage 8 -- rewrite",""))))</f>
        <v/>
      </c>
    </row>
    <row r="199">
      <c r="AV199" t="str">
        <f>IF(AU199="","",IF(AU199&gt;=3,"Stage 5 -- the angle is wrong",IF(AU199=2,"Stage 6 -- the concept is wrong",IF(AU199=1,"Stage 8 -- rewrite",""))))</f>
        <v/>
      </c>
    </row>
    <row r="200">
      <c r="AV200" t="str">
        <f>IF(AU200="","",IF(AU200&gt;=3,"Stage 5 -- the angle is wrong",IF(AU200=2,"Stage 6 -- the concept is wrong",IF(AU200=1,"Stage 8 -- rewrite",""))))</f>
        <v/>
      </c>
    </row>
    <row r="201">
      <c r="AV201" t="str">
        <f>IF(AU201="","",IF(AU201&gt;=3,"Stage 5 -- the angle is wrong",IF(AU201=2,"Stage 6 -- the concept is wrong",IF(AU201=1,"Stage 8 -- rewrite",""))))</f>
        <v/>
      </c>
    </row>
    <row r="202">
      <c r="AV202" t="str">
        <f>IF(AU202="","",IF(AU202&gt;=3,"Stage 5 -- the angle is wrong",IF(AU202=2,"Stage 6 -- the concept is wrong",IF(AU202=1,"Stage 8 -- rewrite",""))))</f>
        <v/>
      </c>
    </row>
    <row r="203">
      <c r="AV203" t="str">
        <f>IF(AU203="","",IF(AU203&gt;=3,"Stage 5 -- the angle is wrong",IF(AU203=2,"Stage 6 -- the concept is wrong",IF(AU203=1,"Stage 8 -- rewrite",""))))</f>
        <v/>
      </c>
    </row>
    <row r="204">
      <c r="AV204" t="str">
        <f>IF(AU204="","",IF(AU204&gt;=3,"Stage 5 -- the angle is wrong",IF(AU204=2,"Stage 6 -- the concept is wrong",IF(AU204=1,"Stage 8 -- rewrite",""))))</f>
        <v/>
      </c>
    </row>
    <row r="205">
      <c r="AV205" t="str">
        <f>IF(AU205="","",IF(AU205&gt;=3,"Stage 5 -- the angle is wrong",IF(AU205=2,"Stage 6 -- the concept is wrong",IF(AU205=1,"Stage 8 -- rewrite",""))))</f>
        <v/>
      </c>
    </row>
    <row r="206">
      <c r="AV206" t="str">
        <f>IF(AU206="","",IF(AU206&gt;=3,"Stage 5 -- the angle is wrong",IF(AU206=2,"Stage 6 -- the concept is wrong",IF(AU206=1,"Stage 8 -- rewrite",""))))</f>
        <v/>
      </c>
    </row>
    <row r="207">
      <c r="AV207" t="str">
        <f>IF(AU207="","",IF(AU207&gt;=3,"Stage 5 -- the angle is wrong",IF(AU207=2,"Stage 6 -- the concept is wrong",IF(AU207=1,"Stage 8 -- rewrite",""))))</f>
        <v/>
      </c>
    </row>
    <row r="208">
      <c r="AV208" t="str">
        <f>IF(AU208="","",IF(AU208&gt;=3,"Stage 5 -- the angle is wrong",IF(AU208=2,"Stage 6 -- the concept is wrong",IF(AU208=1,"Stage 8 -- rewrite",""))))</f>
        <v/>
      </c>
    </row>
    <row r="209">
      <c r="AV209" t="str">
        <f>IF(AU209="","",IF(AU209&gt;=3,"Stage 5 -- the angle is wrong",IF(AU209=2,"Stage 6 -- the concept is wrong",IF(AU209=1,"Stage 8 -- rewrite",""))))</f>
        <v/>
      </c>
    </row>
    <row r="210">
      <c r="AV210" t="str">
        <f>IF(AU210="","",IF(AU210&gt;=3,"Stage 5 -- the angle is wrong",IF(AU210=2,"Stage 6 -- the concept is wrong",IF(AU210=1,"Stage 8 -- rewrite",""))))</f>
        <v/>
      </c>
    </row>
    <row r="211">
      <c r="AV211" t="str">
        <f>IF(AU211="","",IF(AU211&gt;=3,"Stage 5 -- the angle is wrong",IF(AU211=2,"Stage 6 -- the concept is wrong",IF(AU211=1,"Stage 8 -- rewrite",""))))</f>
        <v/>
      </c>
    </row>
    <row r="212">
      <c r="AV212" t="str">
        <f>IF(AU212="","",IF(AU212&gt;=3,"Stage 5 -- the angle is wrong",IF(AU212=2,"Stage 6 -- the concept is wrong",IF(AU212=1,"Stage 8 -- rewrite",""))))</f>
        <v/>
      </c>
    </row>
    <row r="213">
      <c r="AV213" t="str">
        <f>IF(AU213="","",IF(AU213&gt;=3,"Stage 5 -- the angle is wrong",IF(AU213=2,"Stage 6 -- the concept is wrong",IF(AU213=1,"Stage 8 -- rewrite",""))))</f>
        <v/>
      </c>
    </row>
    <row r="214">
      <c r="AV214" t="str">
        <f>IF(AU214="","",IF(AU214&gt;=3,"Stage 5 -- the angle is wrong",IF(AU214=2,"Stage 6 -- the concept is wrong",IF(AU214=1,"Stage 8 -- rewrite",""))))</f>
        <v/>
      </c>
    </row>
    <row r="215">
      <c r="AV215" t="str">
        <f>IF(AU215="","",IF(AU215&gt;=3,"Stage 5 -- the angle is wrong",IF(AU215=2,"Stage 6 -- the concept is wrong",IF(AU215=1,"Stage 8 -- rewrite",""))))</f>
        <v/>
      </c>
    </row>
    <row r="216">
      <c r="AV216" t="str">
        <f>IF(AU216="","",IF(AU216&gt;=3,"Stage 5 -- the angle is wrong",IF(AU216=2,"Stage 6 -- the concept is wrong",IF(AU216=1,"Stage 8 -- rewrite",""))))</f>
        <v/>
      </c>
    </row>
    <row r="217">
      <c r="AV217" t="str">
        <f>IF(AU217="","",IF(AU217&gt;=3,"Stage 5 -- the angle is wrong",IF(AU217=2,"Stage 6 -- the concept is wrong",IF(AU217=1,"Stage 8 -- rewrite",""))))</f>
        <v/>
      </c>
    </row>
    <row r="218">
      <c r="AV218" t="str">
        <f>IF(AU218="","",IF(AU218&gt;=3,"Stage 5 -- the angle is wrong",IF(AU218=2,"Stage 6 -- the concept is wrong",IF(AU218=1,"Stage 8 -- rewrite",""))))</f>
        <v/>
      </c>
    </row>
    <row r="219">
      <c r="AV219" t="str">
        <f>IF(AU219="","",IF(AU219&gt;=3,"Stage 5 -- the angle is wrong",IF(AU219=2,"Stage 6 -- the concept is wrong",IF(AU219=1,"Stage 8 -- rewrite",""))))</f>
        <v/>
      </c>
    </row>
    <row r="220">
      <c r="AV220" t="str">
        <f>IF(AU220="","",IF(AU220&gt;=3,"Stage 5 -- the angle is wrong",IF(AU220=2,"Stage 6 -- the concept is wrong",IF(AU220=1,"Stage 8 -- rewrite",""))))</f>
        <v/>
      </c>
    </row>
    <row r="221">
      <c r="AV221" t="str">
        <f>IF(AU221="","",IF(AU221&gt;=3,"Stage 5 -- the angle is wrong",IF(AU221=2,"Stage 6 -- the concept is wrong",IF(AU221=1,"Stage 8 -- rewrite",""))))</f>
        <v/>
      </c>
    </row>
    <row r="222">
      <c r="AV222" t="str">
        <f>IF(AU222="","",IF(AU222&gt;=3,"Stage 5 -- the angle is wrong",IF(AU222=2,"Stage 6 -- the concept is wrong",IF(AU222=1,"Stage 8 -- rewrite",""))))</f>
        <v/>
      </c>
    </row>
    <row r="223">
      <c r="AV223" t="str">
        <f>IF(AU223="","",IF(AU223&gt;=3,"Stage 5 -- the angle is wrong",IF(AU223=2,"Stage 6 -- the concept is wrong",IF(AU223=1,"Stage 8 -- rewrite",""))))</f>
        <v/>
      </c>
    </row>
    <row r="224">
      <c r="AV224" t="str">
        <f>IF(AU224="","",IF(AU224&gt;=3,"Stage 5 -- the angle is wrong",IF(AU224=2,"Stage 6 -- the concept is wrong",IF(AU224=1,"Stage 8 -- rewrite",""))))</f>
        <v/>
      </c>
    </row>
    <row r="225">
      <c r="AV225" t="str">
        <f>IF(AU225="","",IF(AU225&gt;=3,"Stage 5 -- the angle is wrong",IF(AU225=2,"Stage 6 -- the concept is wrong",IF(AU225=1,"Stage 8 -- rewrite",""))))</f>
        <v/>
      </c>
    </row>
    <row r="226">
      <c r="AV226" t="str">
        <f>IF(AU226="","",IF(AU226&gt;=3,"Stage 5 -- the angle is wrong",IF(AU226=2,"Stage 6 -- the concept is wrong",IF(AU226=1,"Stage 8 -- rewrite",""))))</f>
        <v/>
      </c>
    </row>
    <row r="227">
      <c r="AV227" t="str">
        <f>IF(AU227="","",IF(AU227&gt;=3,"Stage 5 -- the angle is wrong",IF(AU227=2,"Stage 6 -- the concept is wrong",IF(AU227=1,"Stage 8 -- rewrite",""))))</f>
        <v/>
      </c>
    </row>
    <row r="228">
      <c r="AV228" t="str">
        <f>IF(AU228="","",IF(AU228&gt;=3,"Stage 5 -- the angle is wrong",IF(AU228=2,"Stage 6 -- the concept is wrong",IF(AU228=1,"Stage 8 -- rewrite",""))))</f>
        <v/>
      </c>
    </row>
    <row r="229">
      <c r="AV229" t="str">
        <f>IF(AU229="","",IF(AU229&gt;=3,"Stage 5 -- the angle is wrong",IF(AU229=2,"Stage 6 -- the concept is wrong",IF(AU229=1,"Stage 8 -- rewrite",""))))</f>
        <v/>
      </c>
    </row>
    <row r="230">
      <c r="AV230" t="str">
        <f>IF(AU230="","",IF(AU230&gt;=3,"Stage 5 -- the angle is wrong",IF(AU230=2,"Stage 6 -- the concept is wrong",IF(AU230=1,"Stage 8 -- rewrite",""))))</f>
        <v/>
      </c>
    </row>
    <row r="231">
      <c r="AV231" t="str">
        <f>IF(AU231="","",IF(AU231&gt;=3,"Stage 5 -- the angle is wrong",IF(AU231=2,"Stage 6 -- the concept is wrong",IF(AU231=1,"Stage 8 -- rewrite",""))))</f>
        <v/>
      </c>
    </row>
    <row r="232">
      <c r="AV232" t="str">
        <f>IF(AU232="","",IF(AU232&gt;=3,"Stage 5 -- the angle is wrong",IF(AU232=2,"Stage 6 -- the concept is wrong",IF(AU232=1,"Stage 8 -- rewrite",""))))</f>
        <v/>
      </c>
    </row>
    <row r="233">
      <c r="AV233" t="str">
        <f>IF(AU233="","",IF(AU233&gt;=3,"Stage 5 -- the angle is wrong",IF(AU233=2,"Stage 6 -- the concept is wrong",IF(AU233=1,"Stage 8 -- rewrite",""))))</f>
        <v/>
      </c>
    </row>
    <row r="234">
      <c r="AV234" t="str">
        <f>IF(AU234="","",IF(AU234&gt;=3,"Stage 5 -- the angle is wrong",IF(AU234=2,"Stage 6 -- the concept is wrong",IF(AU234=1,"Stage 8 -- rewrite",""))))</f>
        <v/>
      </c>
    </row>
    <row r="235">
      <c r="AV235" t="str">
        <f>IF(AU235="","",IF(AU235&gt;=3,"Stage 5 -- the angle is wrong",IF(AU235=2,"Stage 6 -- the concept is wrong",IF(AU235=1,"Stage 8 -- rewrite",""))))</f>
        <v/>
      </c>
    </row>
    <row r="236">
      <c r="AV236" t="str">
        <f>IF(AU236="","",IF(AU236&gt;=3,"Stage 5 -- the angle is wrong",IF(AU236=2,"Stage 6 -- the concept is wrong",IF(AU236=1,"Stage 8 -- rewrite",""))))</f>
        <v/>
      </c>
    </row>
    <row r="237">
      <c r="AV237" t="str">
        <f>IF(AU237="","",IF(AU237&gt;=3,"Stage 5 -- the angle is wrong",IF(AU237=2,"Stage 6 -- the concept is wrong",IF(AU237=1,"Stage 8 -- rewrite",""))))</f>
        <v/>
      </c>
    </row>
    <row r="238">
      <c r="AV238" t="str">
        <f>IF(AU238="","",IF(AU238&gt;=3,"Stage 5 -- the angle is wrong",IF(AU238=2,"Stage 6 -- the concept is wrong",IF(AU238=1,"Stage 8 -- rewrite",""))))</f>
        <v/>
      </c>
    </row>
    <row r="239">
      <c r="AV239" t="str">
        <f>IF(AU239="","",IF(AU239&gt;=3,"Stage 5 -- the angle is wrong",IF(AU239=2,"Stage 6 -- the concept is wrong",IF(AU239=1,"Stage 8 -- rewrite",""))))</f>
        <v/>
      </c>
    </row>
    <row r="240">
      <c r="AV240" t="str">
        <f>IF(AU240="","",IF(AU240&gt;=3,"Stage 5 -- the angle is wrong",IF(AU240=2,"Stage 6 -- the concept is wrong",IF(AU240=1,"Stage 8 -- rewrite",""))))</f>
        <v/>
      </c>
    </row>
    <row r="241">
      <c r="AV241" t="str">
        <f>IF(AU241="","",IF(AU241&gt;=3,"Stage 5 -- the angle is wrong",IF(AU241=2,"Stage 6 -- the concept is wrong",IF(AU241=1,"Stage 8 -- rewrite",""))))</f>
        <v/>
      </c>
    </row>
    <row r="242">
      <c r="AV242" t="str">
        <f>IF(AU242="","",IF(AU242&gt;=3,"Stage 5 -- the angle is wrong",IF(AU242=2,"Stage 6 -- the concept is wrong",IF(AU242=1,"Stage 8 -- rewrite",""))))</f>
        <v/>
      </c>
    </row>
    <row r="243">
      <c r="AV243" t="str">
        <f>IF(AU243="","",IF(AU243&gt;=3,"Stage 5 -- the angle is wrong",IF(AU243=2,"Stage 6 -- the concept is wrong",IF(AU243=1,"Stage 8 -- rewrite",""))))</f>
        <v/>
      </c>
    </row>
    <row r="244">
      <c r="AV244" t="str">
        <f>IF(AU244="","",IF(AU244&gt;=3,"Stage 5 -- the angle is wrong",IF(AU244=2,"Stage 6 -- the concept is wrong",IF(AU244=1,"Stage 8 -- rewrite",""))))</f>
        <v/>
      </c>
    </row>
    <row r="245">
      <c r="AV245" t="str">
        <f>IF(AU245="","",IF(AU245&gt;=3,"Stage 5 -- the angle is wrong",IF(AU245=2,"Stage 6 -- the concept is wrong",IF(AU245=1,"Stage 8 -- rewrite",""))))</f>
        <v/>
      </c>
    </row>
    <row r="246">
      <c r="AV246" t="str">
        <f>IF(AU246="","",IF(AU246&gt;=3,"Stage 5 -- the angle is wrong",IF(AU246=2,"Stage 6 -- the concept is wrong",IF(AU246=1,"Stage 8 -- rewrite",""))))</f>
        <v/>
      </c>
    </row>
    <row r="247">
      <c r="AV247" t="str">
        <f>IF(AU247="","",IF(AU247&gt;=3,"Stage 5 -- the angle is wrong",IF(AU247=2,"Stage 6 -- the concept is wrong",IF(AU247=1,"Stage 8 -- rewrite",""))))</f>
        <v/>
      </c>
    </row>
    <row r="248">
      <c r="AV248" t="str">
        <f>IF(AU248="","",IF(AU248&gt;=3,"Stage 5 -- the angle is wrong",IF(AU248=2,"Stage 6 -- the concept is wrong",IF(AU248=1,"Stage 8 -- rewrite",""))))</f>
        <v/>
      </c>
    </row>
    <row r="249">
      <c r="AV249" t="str">
        <f>IF(AU249="","",IF(AU249&gt;=3,"Stage 5 -- the angle is wrong",IF(AU249=2,"Stage 6 -- the concept is wrong",IF(AU249=1,"Stage 8 -- rewrite",""))))</f>
        <v/>
      </c>
    </row>
    <row r="250">
      <c r="AV250" t="str">
        <f>IF(AU250="","",IF(AU250&gt;=3,"Stage 5 -- the angle is wrong",IF(AU250=2,"Stage 6 -- the concept is wrong",IF(AU250=1,"Stage 8 -- rewrite",""))))</f>
        <v/>
      </c>
    </row>
    <row r="251">
      <c r="AV251" t="str">
        <f>IF(AU251="","",IF(AU251&gt;=3,"Stage 5 -- the angle is wrong",IF(AU251=2,"Stage 6 -- the concept is wrong",IF(AU251=1,"Stage 8 -- rewrite",""))))</f>
        <v/>
      </c>
    </row>
    <row r="252">
      <c r="AV252" t="str">
        <f>IF(AU252="","",IF(AU252&gt;=3,"Stage 5 -- the angle is wrong",IF(AU252=2,"Stage 6 -- the concept is wrong",IF(AU252=1,"Stage 8 -- rewrite",""))))</f>
        <v/>
      </c>
    </row>
    <row r="253">
      <c r="AV253" t="str">
        <f>IF(AU253="","",IF(AU253&gt;=3,"Stage 5 -- the angle is wrong",IF(AU253=2,"Stage 6 -- the concept is wrong",IF(AU253=1,"Stage 8 -- rewrite",""))))</f>
        <v/>
      </c>
    </row>
    <row r="254">
      <c r="AV254" t="str">
        <f>IF(AU254="","",IF(AU254&gt;=3,"Stage 5 -- the angle is wrong",IF(AU254=2,"Stage 6 -- the concept is wrong",IF(AU254=1,"Stage 8 -- rewrite",""))))</f>
        <v/>
      </c>
    </row>
    <row r="255">
      <c r="AV255" t="str">
        <f>IF(AU255="","",IF(AU255&gt;=3,"Stage 5 -- the angle is wrong",IF(AU255=2,"Stage 6 -- the concept is wrong",IF(AU255=1,"Stage 8 -- rewrite",""))))</f>
        <v/>
      </c>
    </row>
    <row r="256">
      <c r="AV256" t="str">
        <f>IF(AU256="","",IF(AU256&gt;=3,"Stage 5 -- the angle is wrong",IF(AU256=2,"Stage 6 -- the concept is wrong",IF(AU256=1,"Stage 8 -- rewrite",""))))</f>
        <v/>
      </c>
    </row>
    <row r="257">
      <c r="AV257" t="str">
        <f>IF(AU257="","",IF(AU257&gt;=3,"Stage 5 -- the angle is wrong",IF(AU257=2,"Stage 6 -- the concept is wrong",IF(AU257=1,"Stage 8 -- rewrite",""))))</f>
        <v/>
      </c>
    </row>
    <row r="258">
      <c r="AV258" t="str">
        <f>IF(AU258="","",IF(AU258&gt;=3,"Stage 5 -- the angle is wrong",IF(AU258=2,"Stage 6 -- the concept is wrong",IF(AU258=1,"Stage 8 -- rewrite",""))))</f>
        <v/>
      </c>
    </row>
    <row r="259">
      <c r="AV259" t="str">
        <f>IF(AU259="","",IF(AU259&gt;=3,"Stage 5 -- the angle is wrong",IF(AU259=2,"Stage 6 -- the concept is wrong",IF(AU259=1,"Stage 8 -- rewrite",""))))</f>
        <v/>
      </c>
    </row>
    <row r="260">
      <c r="AV260" t="str">
        <f>IF(AU260="","",IF(AU260&gt;=3,"Stage 5 -- the angle is wrong",IF(AU260=2,"Stage 6 -- the concept is wrong",IF(AU260=1,"Stage 8 -- rewrite",""))))</f>
        <v/>
      </c>
    </row>
    <row r="261">
      <c r="AV261" t="str">
        <f>IF(AU261="","",IF(AU261&gt;=3,"Stage 5 -- the angle is wrong",IF(AU261=2,"Stage 6 -- the concept is wrong",IF(AU261=1,"Stage 8 -- rewrite",""))))</f>
        <v/>
      </c>
    </row>
    <row r="262">
      <c r="AV262" t="str">
        <f>IF(AU262="","",IF(AU262&gt;=3,"Stage 5 -- the angle is wrong",IF(AU262=2,"Stage 6 -- the concept is wrong",IF(AU262=1,"Stage 8 -- rewrite",""))))</f>
        <v/>
      </c>
    </row>
    <row r="263">
      <c r="AV263" t="str">
        <f>IF(AU263="","",IF(AU263&gt;=3,"Stage 5 -- the angle is wrong",IF(AU263=2,"Stage 6 -- the concept is wrong",IF(AU263=1,"Stage 8 -- rewrite",""))))</f>
        <v/>
      </c>
    </row>
    <row r="264">
      <c r="AV264" t="str">
        <f>IF(AU264="","",IF(AU264&gt;=3,"Stage 5 -- the angle is wrong",IF(AU264=2,"Stage 6 -- the concept is wrong",IF(AU264=1,"Stage 8 -- rewrite",""))))</f>
        <v/>
      </c>
    </row>
    <row r="265">
      <c r="AV265" t="str">
        <f>IF(AU265="","",IF(AU265&gt;=3,"Stage 5 -- the angle is wrong",IF(AU265=2,"Stage 6 -- the concept is wrong",IF(AU265=1,"Stage 8 -- rewrite",""))))</f>
        <v/>
      </c>
    </row>
    <row r="266">
      <c r="AV266" t="str">
        <f>IF(AU266="","",IF(AU266&gt;=3,"Stage 5 -- the angle is wrong",IF(AU266=2,"Stage 6 -- the concept is wrong",IF(AU266=1,"Stage 8 -- rewrite",""))))</f>
        <v/>
      </c>
    </row>
    <row r="267">
      <c r="AV267" t="str">
        <f>IF(AU267="","",IF(AU267&gt;=3,"Stage 5 -- the angle is wrong",IF(AU267=2,"Stage 6 -- the concept is wrong",IF(AU267=1,"Stage 8 -- rewrite",""))))</f>
        <v/>
      </c>
    </row>
    <row r="268">
      <c r="AV268" t="str">
        <f>IF(AU268="","",IF(AU268&gt;=3,"Stage 5 -- the angle is wrong",IF(AU268=2,"Stage 6 -- the concept is wrong",IF(AU268=1,"Stage 8 -- rewrite",""))))</f>
        <v/>
      </c>
    </row>
    <row r="269">
      <c r="AV269" t="str">
        <f>IF(AU269="","",IF(AU269&gt;=3,"Stage 5 -- the angle is wrong",IF(AU269=2,"Stage 6 -- the concept is wrong",IF(AU269=1,"Stage 8 -- rewrite",""))))</f>
        <v/>
      </c>
    </row>
    <row r="270">
      <c r="AV270" t="str">
        <f>IF(AU270="","",IF(AU270&gt;=3,"Stage 5 -- the angle is wrong",IF(AU270=2,"Stage 6 -- the concept is wrong",IF(AU270=1,"Stage 8 -- rewrite",""))))</f>
        <v/>
      </c>
    </row>
    <row r="271">
      <c r="AV271" t="str">
        <f>IF(AU271="","",IF(AU271&gt;=3,"Stage 5 -- the angle is wrong",IF(AU271=2,"Stage 6 -- the concept is wrong",IF(AU271=1,"Stage 8 -- rewrite",""))))</f>
        <v/>
      </c>
    </row>
    <row r="272">
      <c r="AV272" t="str">
        <f>IF(AU272="","",IF(AU272&gt;=3,"Stage 5 -- the angle is wrong",IF(AU272=2,"Stage 6 -- the concept is wrong",IF(AU272=1,"Stage 8 -- rewrite",""))))</f>
        <v/>
      </c>
    </row>
    <row r="273">
      <c r="AV273" t="str">
        <f>IF(AU273="","",IF(AU273&gt;=3,"Stage 5 -- the angle is wrong",IF(AU273=2,"Stage 6 -- the concept is wrong",IF(AU273=1,"Stage 8 -- rewrite",""))))</f>
        <v/>
      </c>
    </row>
    <row r="274">
      <c r="AV274" t="str">
        <f>IF(AU274="","",IF(AU274&gt;=3,"Stage 5 -- the angle is wrong",IF(AU274=2,"Stage 6 -- the concept is wrong",IF(AU274=1,"Stage 8 -- rewrite",""))))</f>
        <v/>
      </c>
    </row>
    <row r="275">
      <c r="AV275" t="str">
        <f>IF(AU275="","",IF(AU275&gt;=3,"Stage 5 -- the angle is wrong",IF(AU275=2,"Stage 6 -- the concept is wrong",IF(AU275=1,"Stage 8 -- rewrite",""))))</f>
        <v/>
      </c>
    </row>
    <row r="276">
      <c r="AV276" t="str">
        <f>IF(AU276="","",IF(AU276&gt;=3,"Stage 5 -- the angle is wrong",IF(AU276=2,"Stage 6 -- the concept is wrong",IF(AU276=1,"Stage 8 -- rewrite",""))))</f>
        <v/>
      </c>
    </row>
    <row r="277">
      <c r="AV277" t="str">
        <f>IF(AU277="","",IF(AU277&gt;=3,"Stage 5 -- the angle is wrong",IF(AU277=2,"Stage 6 -- the concept is wrong",IF(AU277=1,"Stage 8 -- rewrite",""))))</f>
        <v/>
      </c>
    </row>
    <row r="278">
      <c r="AV278" t="str">
        <f>IF(AU278="","",IF(AU278&gt;=3,"Stage 5 -- the angle is wrong",IF(AU278=2,"Stage 6 -- the concept is wrong",IF(AU278=1,"Stage 8 -- rewrite",""))))</f>
        <v/>
      </c>
    </row>
    <row r="279">
      <c r="AV279" t="str">
        <f>IF(AU279="","",IF(AU279&gt;=3,"Stage 5 -- the angle is wrong",IF(AU279=2,"Stage 6 -- the concept is wrong",IF(AU279=1,"Stage 8 -- rewrite",""))))</f>
        <v/>
      </c>
    </row>
    <row r="280">
      <c r="AV280" t="str">
        <f>IF(AU280="","",IF(AU280&gt;=3,"Stage 5 -- the angle is wrong",IF(AU280=2,"Stage 6 -- the concept is wrong",IF(AU280=1,"Stage 8 -- rewrite",""))))</f>
        <v/>
      </c>
    </row>
    <row r="281">
      <c r="AV281" t="str">
        <f>IF(AU281="","",IF(AU281&gt;=3,"Stage 5 -- the angle is wrong",IF(AU281=2,"Stage 6 -- the concept is wrong",IF(AU281=1,"Stage 8 -- rewrite",""))))</f>
        <v/>
      </c>
    </row>
    <row r="282">
      <c r="AV282" t="str">
        <f>IF(AU282="","",IF(AU282&gt;=3,"Stage 5 -- the angle is wrong",IF(AU282=2,"Stage 6 -- the concept is wrong",IF(AU282=1,"Stage 8 -- rewrite",""))))</f>
        <v/>
      </c>
    </row>
    <row r="283">
      <c r="AV283" t="str">
        <f>IF(AU283="","",IF(AU283&gt;=3,"Stage 5 -- the angle is wrong",IF(AU283=2,"Stage 6 -- the concept is wrong",IF(AU283=1,"Stage 8 -- rewrite",""))))</f>
        <v/>
      </c>
    </row>
    <row r="284">
      <c r="AV284" t="str">
        <f>IF(AU284="","",IF(AU284&gt;=3,"Stage 5 -- the angle is wrong",IF(AU284=2,"Stage 6 -- the concept is wrong",IF(AU284=1,"Stage 8 -- rewrite",""))))</f>
        <v/>
      </c>
    </row>
    <row r="285">
      <c r="AV285" t="str">
        <f>IF(AU285="","",IF(AU285&gt;=3,"Stage 5 -- the angle is wrong",IF(AU285=2,"Stage 6 -- the concept is wrong",IF(AU285=1,"Stage 8 -- rewrite",""))))</f>
        <v/>
      </c>
    </row>
    <row r="286">
      <c r="AV286" t="str">
        <f>IF(AU286="","",IF(AU286&gt;=3,"Stage 5 -- the angle is wrong",IF(AU286=2,"Stage 6 -- the concept is wrong",IF(AU286=1,"Stage 8 -- rewrite",""))))</f>
        <v/>
      </c>
    </row>
    <row r="287">
      <c r="AV287" t="str">
        <f>IF(AU287="","",IF(AU287&gt;=3,"Stage 5 -- the angle is wrong",IF(AU287=2,"Stage 6 -- the concept is wrong",IF(AU287=1,"Stage 8 -- rewrite",""))))</f>
        <v/>
      </c>
    </row>
    <row r="288">
      <c r="AV288" t="str">
        <f>IF(AU288="","",IF(AU288&gt;=3,"Stage 5 -- the angle is wrong",IF(AU288=2,"Stage 6 -- the concept is wrong",IF(AU288=1,"Stage 8 -- rewrite",""))))</f>
        <v/>
      </c>
    </row>
    <row r="289">
      <c r="AV289" t="str">
        <f>IF(AU289="","",IF(AU289&gt;=3,"Stage 5 -- the angle is wrong",IF(AU289=2,"Stage 6 -- the concept is wrong",IF(AU289=1,"Stage 8 -- rewrite",""))))</f>
        <v/>
      </c>
    </row>
    <row r="290">
      <c r="AV290" t="str">
        <f>IF(AU290="","",IF(AU290&gt;=3,"Stage 5 -- the angle is wrong",IF(AU290=2,"Stage 6 -- the concept is wrong",IF(AU290=1,"Stage 8 -- rewrite",""))))</f>
        <v/>
      </c>
    </row>
    <row r="291">
      <c r="AV291" t="str">
        <f>IF(AU291="","",IF(AU291&gt;=3,"Stage 5 -- the angle is wrong",IF(AU291=2,"Stage 6 -- the concept is wrong",IF(AU291=1,"Stage 8 -- rewrite",""))))</f>
        <v/>
      </c>
    </row>
    <row r="292">
      <c r="AV292" t="str">
        <f>IF(AU292="","",IF(AU292&gt;=3,"Stage 5 -- the angle is wrong",IF(AU292=2,"Stage 6 -- the concept is wrong",IF(AU292=1,"Stage 8 -- rewrite",""))))</f>
        <v/>
      </c>
    </row>
    <row r="293">
      <c r="AV293" t="str">
        <f>IF(AU293="","",IF(AU293&gt;=3,"Stage 5 -- the angle is wrong",IF(AU293=2,"Stage 6 -- the concept is wrong",IF(AU293=1,"Stage 8 -- rewrite",""))))</f>
        <v/>
      </c>
    </row>
    <row r="294">
      <c r="AV294" t="str">
        <f>IF(AU294="","",IF(AU294&gt;=3,"Stage 5 -- the angle is wrong",IF(AU294=2,"Stage 6 -- the concept is wrong",IF(AU294=1,"Stage 8 -- rewrite",""))))</f>
        <v/>
      </c>
    </row>
    <row r="295">
      <c r="AV295" t="str">
        <f>IF(AU295="","",IF(AU295&gt;=3,"Stage 5 -- the angle is wrong",IF(AU295=2,"Stage 6 -- the concept is wrong",IF(AU295=1,"Stage 8 -- rewrite",""))))</f>
        <v/>
      </c>
    </row>
    <row r="296">
      <c r="AV296" t="str">
        <f>IF(AU296="","",IF(AU296&gt;=3,"Stage 5 -- the angle is wrong",IF(AU296=2,"Stage 6 -- the concept is wrong",IF(AU296=1,"Stage 8 -- rewrite",""))))</f>
        <v/>
      </c>
    </row>
    <row r="297">
      <c r="AV297" t="str">
        <f>IF(AU297="","",IF(AU297&gt;=3,"Stage 5 -- the angle is wrong",IF(AU297=2,"Stage 6 -- the concept is wrong",IF(AU297=1,"Stage 8 -- rewrite",""))))</f>
        <v/>
      </c>
    </row>
    <row r="298">
      <c r="AV298" t="str">
        <f>IF(AU298="","",IF(AU298&gt;=3,"Stage 5 -- the angle is wrong",IF(AU298=2,"Stage 6 -- the concept is wrong",IF(AU298=1,"Stage 8 -- rewrite",""))))</f>
        <v/>
      </c>
    </row>
    <row r="299">
      <c r="AV299" t="str">
        <f>IF(AU299="","",IF(AU299&gt;=3,"Stage 5 -- the angle is wrong",IF(AU299=2,"Stage 6 -- the concept is wrong",IF(AU299=1,"Stage 8 -- rewrite",""))))</f>
        <v/>
      </c>
    </row>
    <row r="300">
      <c r="AV300" t="str">
        <f>IF(AU300="","",IF(AU300&gt;=3,"Stage 5 -- the angle is wrong",IF(AU300=2,"Stage 6 -- the concept is wrong",IF(AU300=1,"Stage 8 -- rewrite",""))))</f>
        <v/>
      </c>
    </row>
    <row r="301">
      <c r="AV301" t="str">
        <f>IF(AU301="","",IF(AU301&gt;=3,"Stage 5 -- the angle is wrong",IF(AU301=2,"Stage 6 -- the concept is wrong",IF(AU301=1,"Stage 8 -- rewrite",""))))</f>
        <v/>
      </c>
    </row>
    <row r="302">
      <c r="AV302" t="str">
        <f>IF(AU302="","",IF(AU302&gt;=3,"Stage 5 -- the angle is wrong",IF(AU302=2,"Stage 6 -- the concept is wrong",IF(AU302=1,"Stage 8 -- rewrite",""))))</f>
        <v/>
      </c>
    </row>
    <row r="303">
      <c r="AV303" t="str">
        <f>IF(AU303="","",IF(AU303&gt;=3,"Stage 5 -- the angle is wrong",IF(AU303=2,"Stage 6 -- the concept is wrong",IF(AU303=1,"Stage 8 -- rewrite",""))))</f>
        <v/>
      </c>
    </row>
    <row r="304">
      <c r="AV304" t="str">
        <f>IF(AU304="","",IF(AU304&gt;=3,"Stage 5 -- the angle is wrong",IF(AU304=2,"Stage 6 -- the concept is wrong",IF(AU304=1,"Stage 8 -- rewrite",""))))</f>
        <v/>
      </c>
    </row>
    <row r="305">
      <c r="AV305" t="str">
        <f>IF(AU305="","",IF(AU305&gt;=3,"Stage 5 -- the angle is wrong",IF(AU305=2,"Stage 6 -- the concept is wrong",IF(AU305=1,"Stage 8 -- rewrite",""))))</f>
        <v/>
      </c>
    </row>
    <row r="306">
      <c r="AV306" t="str">
        <f>IF(AU306="","",IF(AU306&gt;=3,"Stage 5 -- the angle is wrong",IF(AU306=2,"Stage 6 -- the concept is wrong",IF(AU306=1,"Stage 8 -- rewrite",""))))</f>
        <v/>
      </c>
    </row>
    <row r="307">
      <c r="AV307" t="str">
        <f>IF(AU307="","",IF(AU307&gt;=3,"Stage 5 -- the angle is wrong",IF(AU307=2,"Stage 6 -- the concept is wrong",IF(AU307=1,"Stage 8 -- rewrite",""))))</f>
        <v/>
      </c>
    </row>
    <row r="308">
      <c r="AV308" t="str">
        <f>IF(AU308="","",IF(AU308&gt;=3,"Stage 5 -- the angle is wrong",IF(AU308=2,"Stage 6 -- the concept is wrong",IF(AU308=1,"Stage 8 -- rewrite",""))))</f>
        <v/>
      </c>
    </row>
    <row r="309">
      <c r="AV309" t="str">
        <f>IF(AU309="","",IF(AU309&gt;=3,"Stage 5 -- the angle is wrong",IF(AU309=2,"Stage 6 -- the concept is wrong",IF(AU309=1,"Stage 8 -- rewrite",""))))</f>
        <v/>
      </c>
    </row>
    <row r="310">
      <c r="AV310" t="str">
        <f>IF(AU310="","",IF(AU310&gt;=3,"Stage 5 -- the angle is wrong",IF(AU310=2,"Stage 6 -- the concept is wrong",IF(AU310=1,"Stage 8 -- rewrite",""))))</f>
        <v/>
      </c>
    </row>
    <row r="311">
      <c r="AV311" t="str">
        <f>IF(AU311="","",IF(AU311&gt;=3,"Stage 5 -- the angle is wrong",IF(AU311=2,"Stage 6 -- the concept is wrong",IF(AU311=1,"Stage 8 -- rewrite",""))))</f>
        <v/>
      </c>
    </row>
    <row r="312">
      <c r="AV312" t="str">
        <f>IF(AU312="","",IF(AU312&gt;=3,"Stage 5 -- the angle is wrong",IF(AU312=2,"Stage 6 -- the concept is wrong",IF(AU312=1,"Stage 8 -- rewrite",""))))</f>
        <v/>
      </c>
    </row>
    <row r="313">
      <c r="AV313" t="str">
        <f>IF(AU313="","",IF(AU313&gt;=3,"Stage 5 -- the angle is wrong",IF(AU313=2,"Stage 6 -- the concept is wrong",IF(AU313=1,"Stage 8 -- rewrite",""))))</f>
        <v/>
      </c>
    </row>
    <row r="314">
      <c r="AV314" t="str">
        <f>IF(AU314="","",IF(AU314&gt;=3,"Stage 5 -- the angle is wrong",IF(AU314=2,"Stage 6 -- the concept is wrong",IF(AU314=1,"Stage 8 -- rewrite",""))))</f>
        <v/>
      </c>
    </row>
    <row r="315">
      <c r="AV315" t="str">
        <f>IF(AU315="","",IF(AU315&gt;=3,"Stage 5 -- the angle is wrong",IF(AU315=2,"Stage 6 -- the concept is wrong",IF(AU315=1,"Stage 8 -- rewrite",""))))</f>
        <v/>
      </c>
    </row>
    <row r="316">
      <c r="AV316" t="str">
        <f>IF(AU316="","",IF(AU316&gt;=3,"Stage 5 -- the angle is wrong",IF(AU316=2,"Stage 6 -- the concept is wrong",IF(AU316=1,"Stage 8 -- rewrite",""))))</f>
        <v/>
      </c>
    </row>
    <row r="317">
      <c r="AV317" t="str">
        <f>IF(AU317="","",IF(AU317&gt;=3,"Stage 5 -- the angle is wrong",IF(AU317=2,"Stage 6 -- the concept is wrong",IF(AU317=1,"Stage 8 -- rewrite",""))))</f>
        <v/>
      </c>
    </row>
    <row r="318">
      <c r="AV318" t="str">
        <f>IF(AU318="","",IF(AU318&gt;=3,"Stage 5 -- the angle is wrong",IF(AU318=2,"Stage 6 -- the concept is wrong",IF(AU318=1,"Stage 8 -- rewrite",""))))</f>
        <v/>
      </c>
    </row>
    <row r="319">
      <c r="AV319" t="str">
        <f>IF(AU319="","",IF(AU319&gt;=3,"Stage 5 -- the angle is wrong",IF(AU319=2,"Stage 6 -- the concept is wrong",IF(AU319=1,"Stage 8 -- rewrite",""))))</f>
        <v/>
      </c>
    </row>
    <row r="320">
      <c r="AV320" t="str">
        <f>IF(AU320="","",IF(AU320&gt;=3,"Stage 5 -- the angle is wrong",IF(AU320=2,"Stage 6 -- the concept is wrong",IF(AU320=1,"Stage 8 -- rewrite",""))))</f>
        <v/>
      </c>
    </row>
    <row r="321">
      <c r="AV321" t="str">
        <f>IF(AU321="","",IF(AU321&gt;=3,"Stage 5 -- the angle is wrong",IF(AU321=2,"Stage 6 -- the concept is wrong",IF(AU321=1,"Stage 8 -- rewrite",""))))</f>
        <v/>
      </c>
    </row>
    <row r="322">
      <c r="AV322" t="str">
        <f>IF(AU322="","",IF(AU322&gt;=3,"Stage 5 -- the angle is wrong",IF(AU322=2,"Stage 6 -- the concept is wrong",IF(AU322=1,"Stage 8 -- rewrite",""))))</f>
        <v/>
      </c>
    </row>
    <row r="323">
      <c r="AV323" t="str">
        <f>IF(AU323="","",IF(AU323&gt;=3,"Stage 5 -- the angle is wrong",IF(AU323=2,"Stage 6 -- the concept is wrong",IF(AU323=1,"Stage 8 -- rewrite",""))))</f>
        <v/>
      </c>
    </row>
    <row r="324">
      <c r="AV324" t="str">
        <f>IF(AU324="","",IF(AU324&gt;=3,"Stage 5 -- the angle is wrong",IF(AU324=2,"Stage 6 -- the concept is wrong",IF(AU324=1,"Stage 8 -- rewrite",""))))</f>
        <v/>
      </c>
    </row>
    <row r="325">
      <c r="AV325" t="str">
        <f>IF(AU325="","",IF(AU325&gt;=3,"Stage 5 -- the angle is wrong",IF(AU325=2,"Stage 6 -- the concept is wrong",IF(AU325=1,"Stage 8 -- rewrite",""))))</f>
        <v/>
      </c>
    </row>
    <row r="326">
      <c r="AV326" t="str">
        <f>IF(AU326="","",IF(AU326&gt;=3,"Stage 5 -- the angle is wrong",IF(AU326=2,"Stage 6 -- the concept is wrong",IF(AU326=1,"Stage 8 -- rewrite",""))))</f>
        <v/>
      </c>
    </row>
    <row r="327">
      <c r="AV327" t="str">
        <f>IF(AU327="","",IF(AU327&gt;=3,"Stage 5 -- the angle is wrong",IF(AU327=2,"Stage 6 -- the concept is wrong",IF(AU327=1,"Stage 8 -- rewrite",""))))</f>
        <v/>
      </c>
    </row>
    <row r="328">
      <c r="AV328" t="str">
        <f>IF(AU328="","",IF(AU328&gt;=3,"Stage 5 -- the angle is wrong",IF(AU328=2,"Stage 6 -- the concept is wrong",IF(AU328=1,"Stage 8 -- rewrite",""))))</f>
        <v/>
      </c>
    </row>
    <row r="329">
      <c r="AV329" t="str">
        <f>IF(AU329="","",IF(AU329&gt;=3,"Stage 5 -- the angle is wrong",IF(AU329=2,"Stage 6 -- the concept is wrong",IF(AU329=1,"Stage 8 -- rewrite",""))))</f>
        <v/>
      </c>
    </row>
    <row r="330">
      <c r="AV330" t="str">
        <f>IF(AU330="","",IF(AU330&gt;=3,"Stage 5 -- the angle is wrong",IF(AU330=2,"Stage 6 -- the concept is wrong",IF(AU330=1,"Stage 8 -- rewrite",""))))</f>
        <v/>
      </c>
    </row>
    <row r="331">
      <c r="AV331" t="str">
        <f>IF(AU331="","",IF(AU331&gt;=3,"Stage 5 -- the angle is wrong",IF(AU331=2,"Stage 6 -- the concept is wrong",IF(AU331=1,"Stage 8 -- rewrite",""))))</f>
        <v/>
      </c>
    </row>
    <row r="332">
      <c r="AV332" t="str">
        <f>IF(AU332="","",IF(AU332&gt;=3,"Stage 5 -- the angle is wrong",IF(AU332=2,"Stage 6 -- the concept is wrong",IF(AU332=1,"Stage 8 -- rewrite",""))))</f>
        <v/>
      </c>
    </row>
    <row r="333">
      <c r="AV333" t="str">
        <f>IF(AU333="","",IF(AU333&gt;=3,"Stage 5 -- the angle is wrong",IF(AU333=2,"Stage 6 -- the concept is wrong",IF(AU333=1,"Stage 8 -- rewrite",""))))</f>
        <v/>
      </c>
    </row>
    <row r="334">
      <c r="AV334" t="str">
        <f>IF(AU334="","",IF(AU334&gt;=3,"Stage 5 -- the angle is wrong",IF(AU334=2,"Stage 6 -- the concept is wrong",IF(AU334=1,"Stage 8 -- rewrite",""))))</f>
        <v/>
      </c>
    </row>
    <row r="335">
      <c r="AV335" t="str">
        <f>IF(AU335="","",IF(AU335&gt;=3,"Stage 5 -- the angle is wrong",IF(AU335=2,"Stage 6 -- the concept is wrong",IF(AU335=1,"Stage 8 -- rewrite",""))))</f>
        <v/>
      </c>
    </row>
    <row r="336">
      <c r="AV336" t="str">
        <f>IF(AU336="","",IF(AU336&gt;=3,"Stage 5 -- the angle is wrong",IF(AU336=2,"Stage 6 -- the concept is wrong",IF(AU336=1,"Stage 8 -- rewrite",""))))</f>
        <v/>
      </c>
    </row>
    <row r="337">
      <c r="AV337" t="str">
        <f>IF(AU337="","",IF(AU337&gt;=3,"Stage 5 -- the angle is wrong",IF(AU337=2,"Stage 6 -- the concept is wrong",IF(AU337=1,"Stage 8 -- rewrite",""))))</f>
        <v/>
      </c>
    </row>
    <row r="338">
      <c r="AV338" t="str">
        <f>IF(AU338="","",IF(AU338&gt;=3,"Stage 5 -- the angle is wrong",IF(AU338=2,"Stage 6 -- the concept is wrong",IF(AU338=1,"Stage 8 -- rewrite",""))))</f>
        <v/>
      </c>
    </row>
    <row r="339">
      <c r="AV339" t="str">
        <f>IF(AU339="","",IF(AU339&gt;=3,"Stage 5 -- the angle is wrong",IF(AU339=2,"Stage 6 -- the concept is wrong",IF(AU339=1,"Stage 8 -- rewrite",""))))</f>
        <v/>
      </c>
    </row>
    <row r="340">
      <c r="AV340" t="str">
        <f>IF(AU340="","",IF(AU340&gt;=3,"Stage 5 -- the angle is wrong",IF(AU340=2,"Stage 6 -- the concept is wrong",IF(AU340=1,"Stage 8 -- rewrite",""))))</f>
        <v/>
      </c>
    </row>
    <row r="341">
      <c r="AV341" t="str">
        <f>IF(AU341="","",IF(AU341&gt;=3,"Stage 5 -- the angle is wrong",IF(AU341=2,"Stage 6 -- the concept is wrong",IF(AU341=1,"Stage 8 -- rewrite",""))))</f>
        <v/>
      </c>
    </row>
    <row r="342">
      <c r="AV342" t="str">
        <f>IF(AU342="","",IF(AU342&gt;=3,"Stage 5 -- the angle is wrong",IF(AU342=2,"Stage 6 -- the concept is wrong",IF(AU342=1,"Stage 8 -- rewrite",""))))</f>
        <v/>
      </c>
    </row>
    <row r="343">
      <c r="AV343" t="str">
        <f>IF(AU343="","",IF(AU343&gt;=3,"Stage 5 -- the angle is wrong",IF(AU343=2,"Stage 6 -- the concept is wrong",IF(AU343=1,"Stage 8 -- rewrite",""))))</f>
        <v/>
      </c>
    </row>
    <row r="344">
      <c r="AV344" t="str">
        <f>IF(AU344="","",IF(AU344&gt;=3,"Stage 5 -- the angle is wrong",IF(AU344=2,"Stage 6 -- the concept is wrong",IF(AU344=1,"Stage 8 -- rewrite",""))))</f>
        <v/>
      </c>
    </row>
    <row r="345">
      <c r="AV345" t="str">
        <f>IF(AU345="","",IF(AU345&gt;=3,"Stage 5 -- the angle is wrong",IF(AU345=2,"Stage 6 -- the concept is wrong",IF(AU345=1,"Stage 8 -- rewrite",""))))</f>
        <v/>
      </c>
    </row>
    <row r="346">
      <c r="AV346" t="str">
        <f>IF(AU346="","",IF(AU346&gt;=3,"Stage 5 -- the angle is wrong",IF(AU346=2,"Stage 6 -- the concept is wrong",IF(AU346=1,"Stage 8 -- rewrite",""))))</f>
        <v/>
      </c>
    </row>
    <row r="347">
      <c r="AV347" t="str">
        <f>IF(AU347="","",IF(AU347&gt;=3,"Stage 5 -- the angle is wrong",IF(AU347=2,"Stage 6 -- the concept is wrong",IF(AU347=1,"Stage 8 -- rewrite",""))))</f>
        <v/>
      </c>
    </row>
    <row r="348">
      <c r="AV348" t="str">
        <f>IF(AU348="","",IF(AU348&gt;=3,"Stage 5 -- the angle is wrong",IF(AU348=2,"Stage 6 -- the concept is wrong",IF(AU348=1,"Stage 8 -- rewrite",""))))</f>
        <v/>
      </c>
    </row>
    <row r="349">
      <c r="AV349" t="str">
        <f>IF(AU349="","",IF(AU349&gt;=3,"Stage 5 -- the angle is wrong",IF(AU349=2,"Stage 6 -- the concept is wrong",IF(AU349=1,"Stage 8 -- rewrite",""))))</f>
        <v/>
      </c>
    </row>
    <row r="350">
      <c r="AV350" t="str">
        <f>IF(AU350="","",IF(AU350&gt;=3,"Stage 5 -- the angle is wrong",IF(AU350=2,"Stage 6 -- the concept is wrong",IF(AU350=1,"Stage 8 -- rewrite",""))))</f>
        <v/>
      </c>
    </row>
    <row r="351">
      <c r="AV351" t="str">
        <f>IF(AU351="","",IF(AU351&gt;=3,"Stage 5 -- the angle is wrong",IF(AU351=2,"Stage 6 -- the concept is wrong",IF(AU351=1,"Stage 8 -- rewrite",""))))</f>
        <v/>
      </c>
    </row>
    <row r="352">
      <c r="AV352" t="str">
        <f>IF(AU352="","",IF(AU352&gt;=3,"Stage 5 -- the angle is wrong",IF(AU352=2,"Stage 6 -- the concept is wrong",IF(AU352=1,"Stage 8 -- rewrite",""))))</f>
        <v/>
      </c>
    </row>
    <row r="353">
      <c r="AV353" t="str">
        <f>IF(AU353="","",IF(AU353&gt;=3,"Stage 5 -- the angle is wrong",IF(AU353=2,"Stage 6 -- the concept is wrong",IF(AU353=1,"Stage 8 -- rewrite",""))))</f>
        <v/>
      </c>
    </row>
    <row r="354">
      <c r="AV354" t="str">
        <f>IF(AU354="","",IF(AU354&gt;=3,"Stage 5 -- the angle is wrong",IF(AU354=2,"Stage 6 -- the concept is wrong",IF(AU354=1,"Stage 8 -- rewrite",""))))</f>
        <v/>
      </c>
    </row>
    <row r="355">
      <c r="AV355" t="str">
        <f>IF(AU355="","",IF(AU355&gt;=3,"Stage 5 -- the angle is wrong",IF(AU355=2,"Stage 6 -- the concept is wrong",IF(AU355=1,"Stage 8 -- rewrite",""))))</f>
        <v/>
      </c>
    </row>
    <row r="356">
      <c r="AV356" t="str">
        <f>IF(AU356="","",IF(AU356&gt;=3,"Stage 5 -- the angle is wrong",IF(AU356=2,"Stage 6 -- the concept is wrong",IF(AU356=1,"Stage 8 -- rewrite",""))))</f>
        <v/>
      </c>
    </row>
    <row r="357">
      <c r="AV357" t="str">
        <f>IF(AU357="","",IF(AU357&gt;=3,"Stage 5 -- the angle is wrong",IF(AU357=2,"Stage 6 -- the concept is wrong",IF(AU357=1,"Stage 8 -- rewrite",""))))</f>
        <v/>
      </c>
    </row>
    <row r="358">
      <c r="AV358" t="str">
        <f>IF(AU358="","",IF(AU358&gt;=3,"Stage 5 -- the angle is wrong",IF(AU358=2,"Stage 6 -- the concept is wrong",IF(AU358=1,"Stage 8 -- rewrite",""))))</f>
        <v/>
      </c>
    </row>
    <row r="359">
      <c r="AV359" t="str">
        <f>IF(AU359="","",IF(AU359&gt;=3,"Stage 5 -- the angle is wrong",IF(AU359=2,"Stage 6 -- the concept is wrong",IF(AU359=1,"Stage 8 -- rewrite",""))))</f>
        <v/>
      </c>
    </row>
    <row r="360">
      <c r="AV360" t="str">
        <f>IF(AU360="","",IF(AU360&gt;=3,"Stage 5 -- the angle is wrong",IF(AU360=2,"Stage 6 -- the concept is wrong",IF(AU360=1,"Stage 8 -- rewrite",""))))</f>
        <v/>
      </c>
    </row>
    <row r="361">
      <c r="AV361" t="str">
        <f>IF(AU361="","",IF(AU361&gt;=3,"Stage 5 -- the angle is wrong",IF(AU361=2,"Stage 6 -- the concept is wrong",IF(AU361=1,"Stage 8 -- rewrite",""))))</f>
        <v/>
      </c>
    </row>
    <row r="362">
      <c r="AV362" t="str">
        <f>IF(AU362="","",IF(AU362&gt;=3,"Stage 5 -- the angle is wrong",IF(AU362=2,"Stage 6 -- the concept is wrong",IF(AU362=1,"Stage 8 -- rewrite",""))))</f>
        <v/>
      </c>
    </row>
    <row r="363">
      <c r="AV363" t="str">
        <f>IF(AU363="","",IF(AU363&gt;=3,"Stage 5 -- the angle is wrong",IF(AU363=2,"Stage 6 -- the concept is wrong",IF(AU363=1,"Stage 8 -- rewrite",""))))</f>
        <v/>
      </c>
    </row>
    <row r="364">
      <c r="AV364" t="str">
        <f>IF(AU364="","",IF(AU364&gt;=3,"Stage 5 -- the angle is wrong",IF(AU364=2,"Stage 6 -- the concept is wrong",IF(AU364=1,"Stage 8 -- rewrite",""))))</f>
        <v/>
      </c>
    </row>
    <row r="365">
      <c r="AV365" t="str">
        <f>IF(AU365="","",IF(AU365&gt;=3,"Stage 5 -- the angle is wrong",IF(AU365=2,"Stage 6 -- the concept is wrong",IF(AU365=1,"Stage 8 -- rewrite",""))))</f>
        <v/>
      </c>
    </row>
    <row r="366">
      <c r="AV366" t="str">
        <f>IF(AU366="","",IF(AU366&gt;=3,"Stage 5 -- the angle is wrong",IF(AU366=2,"Stage 6 -- the concept is wrong",IF(AU366=1,"Stage 8 -- rewrite",""))))</f>
        <v/>
      </c>
    </row>
    <row r="367">
      <c r="AV367" t="str">
        <f>IF(AU367="","",IF(AU367&gt;=3,"Stage 5 -- the angle is wrong",IF(AU367=2,"Stage 6 -- the concept is wrong",IF(AU367=1,"Stage 8 -- rewrite",""))))</f>
        <v/>
      </c>
    </row>
    <row r="368">
      <c r="AV368" t="str">
        <f>IF(AU368="","",IF(AU368&gt;=3,"Stage 5 -- the angle is wrong",IF(AU368=2,"Stage 6 -- the concept is wrong",IF(AU368=1,"Stage 8 -- rewrite",""))))</f>
        <v/>
      </c>
    </row>
    <row r="369">
      <c r="AV369" t="str">
        <f>IF(AU369="","",IF(AU369&gt;=3,"Stage 5 -- the angle is wrong",IF(AU369=2,"Stage 6 -- the concept is wrong",IF(AU369=1,"Stage 8 -- rewrite",""))))</f>
        <v/>
      </c>
    </row>
    <row r="370">
      <c r="AV370" t="str">
        <f>IF(AU370="","",IF(AU370&gt;=3,"Stage 5 -- the angle is wrong",IF(AU370=2,"Stage 6 -- the concept is wrong",IF(AU370=1,"Stage 8 -- rewrite",""))))</f>
        <v/>
      </c>
    </row>
    <row r="371">
      <c r="AV371" t="str">
        <f>IF(AU371="","",IF(AU371&gt;=3,"Stage 5 -- the angle is wrong",IF(AU371=2,"Stage 6 -- the concept is wrong",IF(AU371=1,"Stage 8 -- rewrite",""))))</f>
        <v/>
      </c>
    </row>
    <row r="372">
      <c r="AV372" t="str">
        <f>IF(AU372="","",IF(AU372&gt;=3,"Stage 5 -- the angle is wrong",IF(AU372=2,"Stage 6 -- the concept is wrong",IF(AU372=1,"Stage 8 -- rewrite",""))))</f>
        <v/>
      </c>
    </row>
    <row r="373">
      <c r="AV373" t="str">
        <f>IF(AU373="","",IF(AU373&gt;=3,"Stage 5 -- the angle is wrong",IF(AU373=2,"Stage 6 -- the concept is wrong",IF(AU373=1,"Stage 8 -- rewrite",""))))</f>
        <v/>
      </c>
    </row>
    <row r="374">
      <c r="AV374" t="str">
        <f>IF(AU374="","",IF(AU374&gt;=3,"Stage 5 -- the angle is wrong",IF(AU374=2,"Stage 6 -- the concept is wrong",IF(AU374=1,"Stage 8 -- rewrite",""))))</f>
        <v/>
      </c>
    </row>
    <row r="375">
      <c r="AV375" t="str">
        <f>IF(AU375="","",IF(AU375&gt;=3,"Stage 5 -- the angle is wrong",IF(AU375=2,"Stage 6 -- the concept is wrong",IF(AU375=1,"Stage 8 -- rewrite",""))))</f>
        <v/>
      </c>
    </row>
    <row r="376">
      <c r="AV376" t="str">
        <f>IF(AU376="","",IF(AU376&gt;=3,"Stage 5 -- the angle is wrong",IF(AU376=2,"Stage 6 -- the concept is wrong",IF(AU376=1,"Stage 8 -- rewrite",""))))</f>
        <v/>
      </c>
    </row>
    <row r="377">
      <c r="AV377" t="str">
        <f>IF(AU377="","",IF(AU377&gt;=3,"Stage 5 -- the angle is wrong",IF(AU377=2,"Stage 6 -- the concept is wrong",IF(AU377=1,"Stage 8 -- rewrite",""))))</f>
        <v/>
      </c>
    </row>
    <row r="378">
      <c r="AV378" t="str">
        <f>IF(AU378="","",IF(AU378&gt;=3,"Stage 5 -- the angle is wrong",IF(AU378=2,"Stage 6 -- the concept is wrong",IF(AU378=1,"Stage 8 -- rewrite",""))))</f>
        <v/>
      </c>
    </row>
    <row r="379">
      <c r="AV379" t="str">
        <f>IF(AU379="","",IF(AU379&gt;=3,"Stage 5 -- the angle is wrong",IF(AU379=2,"Stage 6 -- the concept is wrong",IF(AU379=1,"Stage 8 -- rewrite",""))))</f>
        <v/>
      </c>
    </row>
    <row r="380">
      <c r="AV380" t="str">
        <f>IF(AU380="","",IF(AU380&gt;=3,"Stage 5 -- the angle is wrong",IF(AU380=2,"Stage 6 -- the concept is wrong",IF(AU380=1,"Stage 8 -- rewrite",""))))</f>
        <v/>
      </c>
    </row>
    <row r="381">
      <c r="AV381" t="str">
        <f>IF(AU381="","",IF(AU381&gt;=3,"Stage 5 -- the angle is wrong",IF(AU381=2,"Stage 6 -- the concept is wrong",IF(AU381=1,"Stage 8 -- rewrite",""))))</f>
        <v/>
      </c>
    </row>
    <row r="382">
      <c r="AV382" t="str">
        <f>IF(AU382="","",IF(AU382&gt;=3,"Stage 5 -- the angle is wrong",IF(AU382=2,"Stage 6 -- the concept is wrong",IF(AU382=1,"Stage 8 -- rewrite",""))))</f>
        <v/>
      </c>
    </row>
    <row r="383">
      <c r="AV383" t="str">
        <f>IF(AU383="","",IF(AU383&gt;=3,"Stage 5 -- the angle is wrong",IF(AU383=2,"Stage 6 -- the concept is wrong",IF(AU383=1,"Stage 8 -- rewrite",""))))</f>
        <v/>
      </c>
    </row>
    <row r="384">
      <c r="AV384" t="str">
        <f>IF(AU384="","",IF(AU384&gt;=3,"Stage 5 -- the angle is wrong",IF(AU384=2,"Stage 6 -- the concept is wrong",IF(AU384=1,"Stage 8 -- rewrite",""))))</f>
        <v/>
      </c>
    </row>
    <row r="385">
      <c r="AV385" t="str">
        <f>IF(AU385="","",IF(AU385&gt;=3,"Stage 5 -- the angle is wrong",IF(AU385=2,"Stage 6 -- the concept is wrong",IF(AU385=1,"Stage 8 -- rewrite",""))))</f>
        <v/>
      </c>
    </row>
    <row r="386">
      <c r="AV386" t="str">
        <f>IF(AU386="","",IF(AU386&gt;=3,"Stage 5 -- the angle is wrong",IF(AU386=2,"Stage 6 -- the concept is wrong",IF(AU386=1,"Stage 8 -- rewrite",""))))</f>
        <v/>
      </c>
    </row>
    <row r="387">
      <c r="AV387" t="str">
        <f>IF(AU387="","",IF(AU387&gt;=3,"Stage 5 -- the angle is wrong",IF(AU387=2,"Stage 6 -- the concept is wrong",IF(AU387=1,"Stage 8 -- rewrite",""))))</f>
        <v/>
      </c>
    </row>
    <row r="388">
      <c r="AV388" t="str">
        <f>IF(AU388="","",IF(AU388&gt;=3,"Stage 5 -- the angle is wrong",IF(AU388=2,"Stage 6 -- the concept is wrong",IF(AU388=1,"Stage 8 -- rewrite",""))))</f>
        <v/>
      </c>
    </row>
    <row r="389">
      <c r="AV389" t="str">
        <f>IF(AU389="","",IF(AU389&gt;=3,"Stage 5 -- the angle is wrong",IF(AU389=2,"Stage 6 -- the concept is wrong",IF(AU389=1,"Stage 8 -- rewrite",""))))</f>
        <v/>
      </c>
    </row>
    <row r="390">
      <c r="AV390" t="str">
        <f>IF(AU390="","",IF(AU390&gt;=3,"Stage 5 -- the angle is wrong",IF(AU390=2,"Stage 6 -- the concept is wrong",IF(AU390=1,"Stage 8 -- rewrite",""))))</f>
        <v/>
      </c>
    </row>
    <row r="391">
      <c r="AV391" t="str">
        <f>IF(AU391="","",IF(AU391&gt;=3,"Stage 5 -- the angle is wrong",IF(AU391=2,"Stage 6 -- the concept is wrong",IF(AU391=1,"Stage 8 -- rewrite",""))))</f>
        <v/>
      </c>
    </row>
    <row r="392">
      <c r="AV392" t="str">
        <f>IF(AU392="","",IF(AU392&gt;=3,"Stage 5 -- the angle is wrong",IF(AU392=2,"Stage 6 -- the concept is wrong",IF(AU392=1,"Stage 8 -- rewrite",""))))</f>
        <v/>
      </c>
    </row>
    <row r="393">
      <c r="AV393" t="str">
        <f>IF(AU393="","",IF(AU393&gt;=3,"Stage 5 -- the angle is wrong",IF(AU393=2,"Stage 6 -- the concept is wrong",IF(AU393=1,"Stage 8 -- rewrite",""))))</f>
        <v/>
      </c>
    </row>
    <row r="394">
      <c r="AV394" t="str">
        <f>IF(AU394="","",IF(AU394&gt;=3,"Stage 5 -- the angle is wrong",IF(AU394=2,"Stage 6 -- the concept is wrong",IF(AU394=1,"Stage 8 -- rewrite",""))))</f>
        <v/>
      </c>
    </row>
    <row r="395">
      <c r="AV395" t="str">
        <f>IF(AU395="","",IF(AU395&gt;=3,"Stage 5 -- the angle is wrong",IF(AU395=2,"Stage 6 -- the concept is wrong",IF(AU395=1,"Stage 8 -- rewrite",""))))</f>
        <v/>
      </c>
    </row>
    <row r="396">
      <c r="AV396" t="str">
        <f>IF(AU396="","",IF(AU396&gt;=3,"Stage 5 -- the angle is wrong",IF(AU396=2,"Stage 6 -- the concept is wrong",IF(AU396=1,"Stage 8 -- rewrite",""))))</f>
        <v/>
      </c>
    </row>
    <row r="397">
      <c r="AV397" t="str">
        <f>IF(AU397="","",IF(AU397&gt;=3,"Stage 5 -- the angle is wrong",IF(AU397=2,"Stage 6 -- the concept is wrong",IF(AU397=1,"Stage 8 -- rewrite",""))))</f>
        <v/>
      </c>
    </row>
    <row r="398">
      <c r="AV398" t="str">
        <f>IF(AU398="","",IF(AU398&gt;=3,"Stage 5 -- the angle is wrong",IF(AU398=2,"Stage 6 -- the concept is wrong",IF(AU398=1,"Stage 8 -- rewrite",""))))</f>
        <v/>
      </c>
    </row>
    <row r="399">
      <c r="AV399" t="str">
        <f>IF(AU399="","",IF(AU399&gt;=3,"Stage 5 -- the angle is wrong",IF(AU399=2,"Stage 6 -- the concept is wrong",IF(AU399=1,"Stage 8 -- rewrite",""))))</f>
        <v/>
      </c>
    </row>
    <row r="400">
      <c r="AV400" t="str">
        <f>IF(AU400="","",IF(AU400&gt;=3,"Stage 5 -- the angle is wrong",IF(AU400=2,"Stage 6 -- the concept is wrong",IF(AU400=1,"Stage 8 -- rewrite",""))))</f>
        <v/>
      </c>
    </row>
    <row r="402">
      <c r="A402" t="str">
        <v>One row per script version. No KPIs and no scoring -- those only exist after the ad runs, and live in the DNA workbook. routed_back_to is a formula: it reads fail_count and names where a further failure sends it.</v>
      </c>
    </row>
  </sheetData>
  <autoFilter ref="$A$2:$BB$400"/>
  <pageMargins left="0.75" right="0.75" top="1" bottom="1" header="0" footer="0"/>
  <ignoredErrors>
    <ignoredError numberStoredAsText="1" sqref="A1:BE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E1000"/>
  <sheetViews>
    <sheetView workbookViewId="0" rightToLeft="0"/>
  </sheetViews>
  <sheetData>
    <row r="1">
      <c r="A1" t="str">
        <v>ADMIN</v>
      </c>
      <c r="F1" t="str">
        <v>THE DESIRE</v>
      </c>
      <c r="M1" t="str">
        <v>WHO</v>
      </c>
      <c r="R1" t="str">
        <v>THE READ</v>
      </c>
      <c r="W1" t="str">
        <v>HOOK 1</v>
      </c>
      <c r="AB1" t="str">
        <v>HOOK 2</v>
      </c>
      <c r="AG1" t="str">
        <v>HOOK 3</v>
      </c>
      <c r="AL1" t="str">
        <v>THE BODY</v>
      </c>
      <c r="AQ1" t="str">
        <v>THE LADDER</v>
      </c>
      <c r="AV1" t="str">
        <v>SPEC</v>
      </c>
      <c r="AY1" t="str">
        <v>ADMIN 2</v>
      </c>
      <c r="BB1" t="str">
        <v>REFERENCE</v>
      </c>
    </row>
    <row r="2">
      <c r="A2" t="str">
        <v>code</v>
      </c>
      <c r="B2" t="str">
        <v>name</v>
      </c>
      <c r="C2" t="str">
        <v>concept_id</v>
      </c>
      <c r="D2" t="str">
        <v>script_id</v>
      </c>
      <c r="E2" t="str">
        <v>asset_type</v>
      </c>
      <c r="F2" t="str">
        <v>desire_type</v>
      </c>
      <c r="G2" t="str">
        <v>desired_outcome</v>
      </c>
      <c r="H2" t="str">
        <v>common_enemy</v>
      </c>
      <c r="I2" t="str">
        <v>problem_description</v>
      </c>
      <c r="J2" t="str">
        <v>belief_shift</v>
      </c>
      <c r="K2" t="str">
        <v>failed_solution</v>
      </c>
      <c r="L2" t="str">
        <v>painpoint</v>
      </c>
      <c r="M2" t="str">
        <v>avatar</v>
      </c>
      <c r="N2" t="str">
        <v>persona</v>
      </c>
      <c r="O2" t="str">
        <v>concept</v>
      </c>
      <c r="P2" t="str">
        <v>core_message</v>
      </c>
      <c r="Q2" t="str">
        <v>angle</v>
      </c>
      <c r="R2" t="str">
        <v>sophistication_level</v>
      </c>
      <c r="S2" t="str">
        <v>market_awareness</v>
      </c>
      <c r="T2" t="str">
        <v>copywriting_format</v>
      </c>
      <c r="U2" t="str">
        <v>pov</v>
      </c>
      <c r="V2" t="str">
        <v>tone</v>
      </c>
      <c r="W2" t="str">
        <v>hook_1</v>
      </c>
      <c r="X2" t="str">
        <v>hook_1_broll</v>
      </c>
      <c r="Y2" t="str">
        <v>hook_1_prompt</v>
      </c>
      <c r="Z2" t="str">
        <v>hook_1_motion</v>
      </c>
      <c r="AA2" t="str">
        <v>hook_1_onscreen</v>
      </c>
      <c r="AB2" t="str">
        <v>hook_2</v>
      </c>
      <c r="AC2" t="str">
        <v>hook_2_broll</v>
      </c>
      <c r="AD2" t="str">
        <v>hook_2_prompt</v>
      </c>
      <c r="AE2" t="str">
        <v>hook_2_motion</v>
      </c>
      <c r="AF2" t="str">
        <v>hook_2_onscreen</v>
      </c>
      <c r="AG2" t="str">
        <v>hook_3</v>
      </c>
      <c r="AH2" t="str">
        <v>hook_3_broll</v>
      </c>
      <c r="AI2" t="str">
        <v>hook_3_prompt</v>
      </c>
      <c r="AJ2" t="str">
        <v>hook_3_motion</v>
      </c>
      <c r="AK2" t="str">
        <v>hook_3_onscreen</v>
      </c>
      <c r="AL2" t="str">
        <v>body</v>
      </c>
      <c r="AM2" t="str">
        <v>cta</v>
      </c>
      <c r="AN2" t="str">
        <v>body_broll_suggestion</v>
      </c>
      <c r="AO2" t="str">
        <v>summary</v>
      </c>
      <c r="AP2" t="str">
        <v>notes</v>
      </c>
      <c r="AQ2" t="str">
        <v>level</v>
      </c>
      <c r="AR2" t="str">
        <v>parent_ad_name_verbatim</v>
      </c>
      <c r="AS2" t="str">
        <v>register_1</v>
      </c>
      <c r="AT2" t="str">
        <v>register_2</v>
      </c>
      <c r="AU2" t="str">
        <v>register_3</v>
      </c>
      <c r="AV2" t="str">
        <v>platform</v>
      </c>
      <c r="AW2" t="str">
        <v>works_on_mute</v>
      </c>
      <c r="AX2" t="str">
        <v>compliance_note</v>
      </c>
      <c r="AY2" t="str">
        <v>owner</v>
      </c>
      <c r="AZ2" t="str">
        <v>due_date</v>
      </c>
      <c r="BA2" t="str">
        <v>status</v>
      </c>
      <c r="BB2" t="str">
        <v>ad_inspo_link</v>
      </c>
      <c r="BC2" t="str">
        <v>ad_inspo_note</v>
      </c>
      <c r="BD2" t="str">
        <v>gdrive_link</v>
      </c>
      <c r="BE2" t="str">
        <v>full_brief_text</v>
      </c>
    </row>
    <row r="3" xml:space="preserve">
      <c r="A3" t="str">
        <v>ACM014</v>
      </c>
      <c r="B3" t="str">
        <v>Acme_NightSufferer_CabinetAudit_L1</v>
      </c>
      <c r="C3" t="str">
        <v>C-01</v>
      </c>
      <c r="D3" t="str">
        <v>S-014</v>
      </c>
      <c r="E3" t="str">
        <v>UGC</v>
      </c>
      <c r="F3" t="str">
        <v>Relief</v>
      </c>
      <c r="G3" t="str">
        <v>Sleep through the night without waking at 3am</v>
      </c>
      <c r="H3" t="str">
        <v>The cabinet full of things that did nothing</v>
      </c>
      <c r="I3" t="str">
        <v>Wakes at 3am, mind racing, cannot get back down</v>
      </c>
      <c r="J3" t="str">
        <v>It is not age -- it is a glucose swing overnight</v>
      </c>
      <c r="K3" t="str">
        <v>Melatonin, magnesium, cutting caffeine</v>
      </c>
      <c r="L3" t="str">
        <v>Nine bottles, none of them worked</v>
      </c>
      <c r="M3" t="str">
        <v>Night sufferer</v>
      </c>
      <c r="N3" t="str">
        <v>Sandra, RN</v>
      </c>
      <c r="O3" t="str">
        <v>Cabinet audit</v>
      </c>
      <c r="P3" t="str">
        <v>Your doctor is tracking the level. Nobody opened the drain.</v>
      </c>
      <c r="Q3" t="str">
        <v>Symptom reframe</v>
      </c>
      <c r="R3" t="str">
        <v>Stage 4</v>
      </c>
      <c r="S3" t="str">
        <v>MOFU</v>
      </c>
      <c r="T3" t="str">
        <v>UGC script</v>
      </c>
      <c r="U3" t="str">
        <v>patient</v>
      </c>
      <c r="V3" t="str">
        <v>matter-of-fact</v>
      </c>
      <c r="W3" t="str">
        <v>I counted nine bottles in that cabinet.</v>
      </c>
      <c r="X3" t="str">
        <v>object-led -- cabinet door opens. Hand reaches. Bottles rattle.</v>
      </c>
      <c r="Y3" t="str">
        <v>Bathroom cabinet, morning light, close crop, 9:16</v>
      </c>
      <c r="Z3" t="str">
        <v>Door swing 0.4s, hand enters 0.8s, hold 1.2s</v>
      </c>
      <c r="AA3" t="str">
        <v>none</v>
      </c>
      <c r="AB3" t="str">
        <v>My mother stopped driving at 61. I was 58.</v>
      </c>
      <c r="AC3" t="str">
        <v>talent-led -- woman at a kitchen table, car keys in shot</v>
      </c>
      <c r="AD3" t="str">
        <v>Woman 55-65 at kitchen table, keys on cloth, window light, 9:16</v>
      </c>
      <c r="AE3" t="str">
        <v>Static, she looks down at the keys, 1.1s</v>
      </c>
      <c r="AF3" t="str">
        <v>none</v>
      </c>
      <c r="AG3" t="str">
        <v>The pharmacist asked me a question nobody had asked.</v>
      </c>
      <c r="AH3" t="str">
        <v>graphic-led -- prescription label, text resolves</v>
      </c>
      <c r="AI3" t="str">
        <v>Pharmacy counter, label in focus, shallow depth, 9:16</v>
      </c>
      <c r="AJ3" t="str">
        <v>Rack focus onto label at 0.6s</v>
      </c>
      <c r="AK3" t="str">
        <v>the question nobody asks</v>
      </c>
      <c r="AL3" t="str">
        <v>[full body copy -- platform-ready plain text]</v>
      </c>
      <c r="AM3" t="str">
        <v>Check your own cabinet tonight.</v>
      </c>
      <c r="AN3" t="str" xml:space="preserve">
        <v xml:space="preserve">B-1 -- "I counted nine bottles." / object-led, cabinet / slow push / none
B-2 -- "None of them mentioned the drain." / graphic-led, label macro / rack focus / none</v>
      </c>
      <c r="AO3" t="str">
        <v>L1 off ACM-W1. Hook line only; body locked word for word.</v>
      </c>
      <c r="AP3" t="str">
        <v>AD code ACM014. Parent: "Nine Bottles" (ACM-W1). L1 checks: body untouched, category held.</v>
      </c>
      <c r="AQ3" t="str">
        <v>L1</v>
      </c>
      <c r="AR3" t="str">
        <v>Nine Bottles</v>
      </c>
      <c r="AS3" t="str">
        <v>object-led</v>
      </c>
      <c r="AT3" t="str">
        <v>talent-led</v>
      </c>
      <c r="AU3" t="str">
        <v>graphic-led</v>
      </c>
      <c r="AV3" t="str">
        <v>Reels</v>
      </c>
      <c r="AW3" t="str">
        <v>yes</v>
      </c>
      <c r="AX3" t="str">
        <v>AI-generated b-roll used. Disclosure required per platform policy and jurisdiction.</v>
      </c>
      <c r="AY3" t="str">
        <v>[name]</v>
      </c>
      <c r="AZ3" t="str">
        <v>2026-09-04</v>
      </c>
      <c r="BA3" t="str">
        <v>briefed</v>
      </c>
      <c r="BB3" t="str">
        <v>https://www.facebook.com/ads/library/?id=...</v>
      </c>
      <c r="BC3" t="str">
        <v>Parent winner. 2.64 ROAS, ~30% of purchases.</v>
      </c>
      <c r="BD3" t="str">
        <v>https://drive.google.com/drive/folders/...</v>
      </c>
      <c r="BE3" t="str">
        <v>[the whole brief as plain text, exactly in 11-BRIEF-TEMPLATE.md order -- this is what gets sent]</v>
      </c>
    </row>
    <row r="5">
      <c r="A5" t="str">
        <v>^ row 3 is a worked EXAMPLE -- delete it before real work</v>
      </c>
    </row>
    <row r="402">
      <c r="A402" t="str">
        <v>One template, every role. Column order follows Method/Baselines/BRIEFS/11-BRIEF-TEMPLATE.md exactly -- no section skipped, renamed or added. body_broll_suggestion is ONE cell, not columns: the shot count follows the beats in the body, and a six-sentence body may want nine shots while a short one wants three. Do not pad to a number, do not drop a beat to hit one. The level's own checks live in `notes`; they never become new columns.</v>
      </c>
    </row>
  </sheetData>
  <pageMargins left="0.75" right="0.75" top="1" bottom="1" header="0" footer="0"/>
  <ignoredErrors>
    <ignoredError numberStoredAsText="1" sqref="A1:BE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1000"/>
  <sheetViews>
    <sheetView workbookViewId="0" rightToLeft="0"/>
  </sheetViews>
  <sheetData>
    <row r="1">
      <c r="A1" t="str">
        <v>DROPDOWN SOURCE LISTS</v>
      </c>
    </row>
    <row r="2">
      <c r="A2" t="str">
        <v>GENERATED. Do not edit this sheet -- it is overwritten. Edit Method/Baselines/LISTS.md and run build-lists.py.</v>
      </c>
    </row>
    <row r="3">
      <c r="A3" t="str">
        <v>Placeholder lists -- close_icp, pain_cluster, mechanism -- are filled per brand at Stage 0. A placeholder left unfilled reaches a client-facing sheet.</v>
      </c>
    </row>
    <row r="5">
      <c r="A5" t="str">
        <v>asset_type</v>
      </c>
      <c r="B5" t="str">
        <v>awareness</v>
      </c>
      <c r="C5" t="str">
        <v>sophistication</v>
      </c>
      <c r="D5" t="str">
        <v>belief_shift</v>
      </c>
      <c r="E5" t="str">
        <v>hook_type</v>
      </c>
      <c r="F5" t="str">
        <v>concept_creative</v>
      </c>
      <c r="G5" t="str">
        <v>concept_production</v>
      </c>
      <c r="H5" t="str">
        <v>desire_lf8</v>
      </c>
      <c r="I5" t="str">
        <v>socproof</v>
      </c>
      <c r="J5" t="str">
        <v>lead_type</v>
      </c>
      <c r="K5" t="str">
        <v>story_shape</v>
      </c>
      <c r="L5" t="str">
        <v>image_role</v>
      </c>
      <c r="M5" t="str">
        <v>delivery</v>
      </c>
      <c r="N5" t="str">
        <v>format</v>
      </c>
      <c r="O5" t="str">
        <v>verdict</v>
      </c>
      <c r="P5" t="str">
        <v>wave</v>
      </c>
      <c r="Q5" t="str">
        <v>close_icp</v>
      </c>
      <c r="R5" t="str">
        <v>level</v>
      </c>
      <c r="S5" t="str">
        <v>provenance</v>
      </c>
      <c r="T5" t="str">
        <v>version</v>
      </c>
      <c r="U5" t="str">
        <v>status</v>
      </c>
      <c r="V5" t="str">
        <v>prod_status</v>
      </c>
      <c r="W5" t="str">
        <v>draft_version</v>
      </c>
      <c r="X5" t="str">
        <v>mechanism_shape</v>
      </c>
      <c r="Y5" t="str">
        <v>doorway</v>
      </c>
      <c r="Z5" t="str">
        <v>tone</v>
      </c>
      <c r="AA5" t="str">
        <v>pov</v>
      </c>
      <c r="AB5" t="str">
        <v>register</v>
      </c>
      <c r="AC5" t="str">
        <v>desire_type</v>
      </c>
      <c r="AD5" t="str">
        <v>funnel_stage</v>
      </c>
      <c r="AE5" t="str">
        <v>copy_format</v>
      </c>
      <c r="AF5" t="str">
        <v>platform</v>
      </c>
      <c r="AG5" t="str">
        <v>sound_on_off</v>
      </c>
      <c r="AH5" t="str">
        <v>works_on_mute</v>
      </c>
      <c r="AI5" t="str">
        <v>product_visibility</v>
      </c>
      <c r="AJ5" t="str">
        <v>yes_no</v>
      </c>
    </row>
    <row r="6">
      <c r="A6" t="str">
        <v>native</v>
      </c>
      <c r="B6" t="str">
        <v>Unaware</v>
      </c>
      <c r="C6" t="str">
        <v>Stage 1</v>
      </c>
      <c r="D6" t="str">
        <v>Problem</v>
      </c>
      <c r="E6" t="str">
        <v>Negation Chain</v>
      </c>
      <c r="F6" t="str">
        <v>Authority</v>
      </c>
      <c r="G6" t="str">
        <v>Text</v>
      </c>
      <c r="H6" t="str">
        <v>Survival</v>
      </c>
      <c r="I6" t="str">
        <v>Personal result</v>
      </c>
      <c r="J6" t="str">
        <v>Offer</v>
      </c>
      <c r="K6" t="str">
        <v>linear</v>
      </c>
      <c r="L6" t="str">
        <v>1 Exact referent</v>
      </c>
      <c r="M6" t="str">
        <v>voiceover</v>
      </c>
      <c r="N6" t="str">
        <v>Advertorial</v>
      </c>
      <c r="O6" t="str">
        <v>Ship</v>
      </c>
      <c r="P6" t="str">
        <v>1</v>
      </c>
      <c r="Q6" t="str">
        <v>ICP 1: [name]</v>
      </c>
      <c r="R6" t="str">
        <v>L0</v>
      </c>
      <c r="S6" t="str">
        <v>ours</v>
      </c>
      <c r="T6" t="str">
        <v>WITH</v>
      </c>
      <c r="U6" t="str">
        <v>Inprogress</v>
      </c>
      <c r="V6" t="str">
        <v>planned</v>
      </c>
      <c r="W6" t="str">
        <v>V1</v>
      </c>
      <c r="X6" t="str">
        <v>blocked pathway</v>
      </c>
      <c r="Y6" t="str">
        <v>Fear</v>
      </c>
      <c r="Z6" t="str">
        <v>warm</v>
      </c>
      <c r="AA6" t="str">
        <v>patient</v>
      </c>
      <c r="AB6" t="str">
        <v>talent-led</v>
      </c>
      <c r="AC6" t="str">
        <v>Comfort</v>
      </c>
      <c r="AD6" t="str">
        <v>TOFU</v>
      </c>
      <c r="AE6" t="str">
        <v>Advertorial</v>
      </c>
      <c r="AF6" t="str">
        <v>Reels</v>
      </c>
      <c r="AG6" t="str">
        <v>works on mute</v>
      </c>
      <c r="AH6" t="str">
        <v>yes</v>
      </c>
      <c r="AI6" t="str">
        <v>none</v>
      </c>
      <c r="AJ6" t="str">
        <v>yes</v>
      </c>
    </row>
    <row r="7">
      <c r="A7" t="str">
        <v>static</v>
      </c>
      <c r="B7" t="str">
        <v>Problem Aware</v>
      </c>
      <c r="C7" t="str">
        <v>Stage 2</v>
      </c>
      <c r="D7" t="str">
        <v>Failed</v>
      </c>
      <c r="E7" t="str">
        <v>Credential Lead</v>
      </c>
      <c r="F7" t="str">
        <v>Testimonial</v>
      </c>
      <c r="G7" t="str">
        <v>Unique Concept</v>
      </c>
      <c r="H7" t="str">
        <v>Enjoyment</v>
      </c>
      <c r="I7" t="str">
        <v>Patient case</v>
      </c>
      <c r="J7" t="str">
        <v>Promise</v>
      </c>
      <c r="K7" t="str">
        <v>framed</v>
      </c>
      <c r="L7" t="str">
        <v>2 Specific symptom or event</v>
      </c>
      <c r="M7" t="str">
        <v>on-screen talent</v>
      </c>
      <c r="N7" t="str">
        <v>Listicle</v>
      </c>
      <c r="O7" t="str">
        <v>Revise</v>
      </c>
      <c r="P7" t="str">
        <v>2</v>
      </c>
      <c r="Q7" t="str">
        <v>ICP 2: [name]</v>
      </c>
      <c r="R7" t="str">
        <v>L1</v>
      </c>
      <c r="S7" t="str">
        <v>market</v>
      </c>
      <c r="T7" t="str">
        <v>WITHOUT</v>
      </c>
      <c r="U7" t="str">
        <v>For Review</v>
      </c>
      <c r="V7" t="str">
        <v>briefed</v>
      </c>
      <c r="W7" t="str">
        <v>V2</v>
      </c>
      <c r="X7" t="str">
        <v>stuck switch</v>
      </c>
      <c r="Y7" t="str">
        <v>Hope</v>
      </c>
      <c r="Z7" t="str">
        <v>clinical</v>
      </c>
      <c r="AA7" t="str">
        <v>caregiver</v>
      </c>
      <c r="AB7" t="str">
        <v>object-led</v>
      </c>
      <c r="AC7" t="str">
        <v>Fear</v>
      </c>
      <c r="AD7" t="str">
        <v>MOFU</v>
      </c>
      <c r="AE7" t="str">
        <v>Listicle</v>
      </c>
      <c r="AF7" t="str">
        <v>TikTok</v>
      </c>
      <c r="AG7" t="str">
        <v>needs sound</v>
      </c>
      <c r="AH7" t="str">
        <v>no</v>
      </c>
      <c r="AI7" t="str">
        <v>secondary</v>
      </c>
      <c r="AJ7" t="str">
        <v>no</v>
      </c>
    </row>
    <row r="8">
      <c r="A8" t="str">
        <v>video</v>
      </c>
      <c r="B8" t="str">
        <v>Solution Aware</v>
      </c>
      <c r="C8" t="str">
        <v>Stage 3</v>
      </c>
      <c r="D8" t="str">
        <v>Mechanism</v>
      </c>
      <c r="E8" t="str">
        <v>Failed Quest</v>
      </c>
      <c r="F8" t="str">
        <v>Curiosity</v>
      </c>
      <c r="G8" t="str">
        <v>ITER</v>
      </c>
      <c r="H8" t="str">
        <v>Fear</v>
      </c>
      <c r="I8" t="str">
        <v>Doctor validation</v>
      </c>
      <c r="J8" t="str">
        <v>Problem-Solution</v>
      </c>
      <c r="K8" t="str">
        <v>in-media-res</v>
      </c>
      <c r="L8" t="str">
        <v>3 Proof of result</v>
      </c>
      <c r="M8" t="str">
        <v>text-on-screen</v>
      </c>
      <c r="N8" t="str">
        <v>Native article</v>
      </c>
      <c r="O8" t="str">
        <v>Reject</v>
      </c>
      <c r="P8" t="str">
        <v>3</v>
      </c>
      <c r="Q8" t="str">
        <v>ICP 3: [name]</v>
      </c>
      <c r="R8" t="str">
        <v>L2</v>
      </c>
      <c r="S8" t="str">
        <v>foreign-niche</v>
      </c>
      <c r="U8" t="str">
        <v>Approved</v>
      </c>
      <c r="V8" t="str">
        <v>drafting</v>
      </c>
      <c r="W8" t="str">
        <v>V3</v>
      </c>
      <c r="X8" t="str">
        <v>accumulating damage</v>
      </c>
      <c r="Y8" t="str">
        <v>Anger</v>
      </c>
      <c r="Z8" t="str">
        <v>urgent</v>
      </c>
      <c r="AA8" t="str">
        <v>clinician</v>
      </c>
      <c r="AB8" t="str">
        <v>graphic-led</v>
      </c>
      <c r="AC8" t="str">
        <v>Social</v>
      </c>
      <c r="AD8" t="str">
        <v>BOFU</v>
      </c>
      <c r="AE8" t="str">
        <v>Native article</v>
      </c>
      <c r="AF8" t="str">
        <v>Shorts</v>
      </c>
      <c r="AG8" t="str">
        <v>either</v>
      </c>
      <c r="AH8" t="str">
        <v>needs captions</v>
      </c>
      <c r="AI8" t="str">
        <v>primary</v>
      </c>
    </row>
    <row r="9">
      <c r="A9" t="str">
        <v>UGC</v>
      </c>
      <c r="B9" t="str">
        <v>Product Aware</v>
      </c>
      <c r="C9" t="str">
        <v>Stage 4</v>
      </c>
      <c r="D9" t="str">
        <v>Hope</v>
      </c>
      <c r="E9" t="str">
        <v>Historical</v>
      </c>
      <c r="F9" t="str">
        <v>Storytelling</v>
      </c>
      <c r="G9" t="str">
        <v>RELAUNCH</v>
      </c>
      <c r="H9" t="str">
        <v>Sex</v>
      </c>
      <c r="I9" t="str">
        <v>Third-party study</v>
      </c>
      <c r="J9" t="str">
        <v>Secret</v>
      </c>
      <c r="K9" t="str">
        <v>two-timeline</v>
      </c>
      <c r="L9" t="str">
        <v>4 Authority identity</v>
      </c>
      <c r="M9" t="str">
        <v>mixed</v>
      </c>
      <c r="N9" t="str">
        <v>Static image</v>
      </c>
      <c r="P9" t="str">
        <v>4</v>
      </c>
      <c r="Q9" t="str">
        <v>ICP 4: [name]</v>
      </c>
      <c r="R9" t="str">
        <v>L3</v>
      </c>
      <c r="U9" t="str">
        <v>Live</v>
      </c>
      <c r="V9" t="str">
        <v>in QA</v>
      </c>
      <c r="X9" t="str">
        <v>missing input</v>
      </c>
      <c r="Y9" t="str">
        <v>Guilt</v>
      </c>
      <c r="Z9" t="str">
        <v>matter-of-fact</v>
      </c>
      <c r="AA9" t="str">
        <v>peer</v>
      </c>
      <c r="AC9" t="str">
        <v>Vanity</v>
      </c>
      <c r="AE9" t="str">
        <v>UGC script</v>
      </c>
      <c r="AF9" t="str">
        <v>Feed</v>
      </c>
    </row>
    <row r="10">
      <c r="A10" t="str">
        <v>VSL</v>
      </c>
      <c r="B10" t="str">
        <v>Most Aware</v>
      </c>
      <c r="C10" t="str">
        <v>Stage 5</v>
      </c>
      <c r="D10" t="str">
        <v>Risk</v>
      </c>
      <c r="E10" t="str">
        <v>Confrontation</v>
      </c>
      <c r="F10" t="str">
        <v>Anti-</v>
      </c>
      <c r="G10" t="str">
        <v>Competitor 1 on 1</v>
      </c>
      <c r="H10" t="str">
        <v>Comfort</v>
      </c>
      <c r="I10" t="str">
        <v>Peer/colleague</v>
      </c>
      <c r="J10" t="str">
        <v>Proclamation</v>
      </c>
      <c r="K10" t="str">
        <v>reversal</v>
      </c>
      <c r="L10" t="str">
        <v>5 Product or use</v>
      </c>
      <c r="M10" t="str">
        <v>n/a</v>
      </c>
      <c r="N10" t="str">
        <v>Carousel</v>
      </c>
      <c r="Q10" t="str">
        <v>ICP 5: [name]</v>
      </c>
      <c r="R10" t="str">
        <v>L4</v>
      </c>
      <c r="U10" t="str">
        <v>Killed</v>
      </c>
      <c r="V10" t="str">
        <v>approved</v>
      </c>
      <c r="Y10" t="str">
        <v>Pride</v>
      </c>
      <c r="Z10" t="str">
        <v>conspiratorial</v>
      </c>
      <c r="AA10" t="str">
        <v>insider</v>
      </c>
      <c r="AC10" t="str">
        <v>Status</v>
      </c>
      <c r="AE10" t="str">
        <v>VSL script</v>
      </c>
      <c r="AF10" t="str">
        <v>Stories</v>
      </c>
    </row>
    <row r="11">
      <c r="A11" t="str">
        <v>email</v>
      </c>
      <c r="D11" t="str">
        <v>Ease</v>
      </c>
      <c r="E11" t="str">
        <v>Symptom Reframe</v>
      </c>
      <c r="F11" t="str">
        <v>Education</v>
      </c>
      <c r="G11" t="str">
        <v>Competitor Vid to Static</v>
      </c>
      <c r="H11" t="str">
        <v>Status</v>
      </c>
      <c r="I11" t="str">
        <v>Volume claim</v>
      </c>
      <c r="J11" t="str">
        <v>Story</v>
      </c>
      <c r="L11" t="str">
        <v>6 Lifestyle outcome</v>
      </c>
      <c r="N11" t="str">
        <v>Video</v>
      </c>
      <c r="Q11" t="str">
        <v>ICP 6: [name]</v>
      </c>
      <c r="R11" t="str">
        <v>L5</v>
      </c>
      <c r="U11" t="str">
        <v>Scaled</v>
      </c>
      <c r="V11" t="str">
        <v>shipped</v>
      </c>
      <c r="Y11" t="str">
        <v>Belonging</v>
      </c>
      <c r="Z11" t="str">
        <v>defiant</v>
      </c>
      <c r="AA11" t="str">
        <v>founder</v>
      </c>
      <c r="AC11" t="str">
        <v>Relief</v>
      </c>
      <c r="AE11" t="str">
        <v>Short-form script</v>
      </c>
    </row>
    <row r="12">
      <c r="A12" t="str">
        <v>landing page</v>
      </c>
      <c r="D12" t="str">
        <v>Logic</v>
      </c>
      <c r="E12" t="str">
        <v>Caregiver Hook</v>
      </c>
      <c r="F12" t="str">
        <v>Caregiver</v>
      </c>
      <c r="G12" t="str">
        <v>TESTLP</v>
      </c>
      <c r="H12" t="str">
        <v>Caregiving</v>
      </c>
      <c r="I12" t="str">
        <v>Institutional</v>
      </c>
      <c r="N12" t="str">
        <v>UGC video</v>
      </c>
      <c r="Q12" t="str">
        <v>ICP 7: [name]</v>
      </c>
      <c r="R12" t="str">
        <v>L6</v>
      </c>
      <c r="V12" t="str">
        <v>killed</v>
      </c>
      <c r="Y12" t="str">
        <v>Curiosity</v>
      </c>
      <c r="Z12" t="str">
        <v>grieving</v>
      </c>
      <c r="AA12" t="str">
        <v>observer</v>
      </c>
      <c r="AC12" t="str">
        <v>Control</v>
      </c>
      <c r="AE12" t="str">
        <v>Static copy</v>
      </c>
    </row>
    <row r="13">
      <c r="D13" t="str">
        <v>Identity</v>
      </c>
      <c r="E13" t="str">
        <v>Impossible Result</v>
      </c>
      <c r="F13" t="str">
        <v>Sale</v>
      </c>
      <c r="G13" t="str">
        <v>NEWANG</v>
      </c>
      <c r="H13" t="str">
        <v>Social</v>
      </c>
      <c r="I13" t="str">
        <v>Historical precedent</v>
      </c>
      <c r="N13" t="str">
        <v>VSL</v>
      </c>
      <c r="Q13" t="str">
        <v>ICP 8: [name]</v>
      </c>
      <c r="Y13" t="str">
        <v>Relief</v>
      </c>
      <c r="Z13" t="str">
        <v>wry</v>
      </c>
      <c r="AA13" t="str">
        <v>the product</v>
      </c>
      <c r="AE13" t="str">
        <v>Email</v>
      </c>
    </row>
    <row r="14">
      <c r="D14" t="str">
        <v>Time</v>
      </c>
      <c r="E14" t="str">
        <v>Empathy + Confrontation</v>
      </c>
      <c r="F14" t="str">
        <v>Us vs Them</v>
      </c>
      <c r="G14" t="str">
        <v>AITEST</v>
      </c>
      <c r="I14" t="str">
        <v>Family witness</v>
      </c>
      <c r="N14" t="str">
        <v>Testimonial</v>
      </c>
      <c r="Y14" t="str">
        <v>Vindication</v>
      </c>
    </row>
    <row r="15">
      <c r="D15" t="str">
        <v>System</v>
      </c>
      <c r="G15" t="str">
        <v>ENGAGE</v>
      </c>
      <c r="I15" t="str">
        <v>None</v>
      </c>
      <c r="N15" t="str">
        <v>Product demo</v>
      </c>
      <c r="Y15" t="str">
        <v>Grief</v>
      </c>
    </row>
    <row r="16">
      <c r="D16" t="str">
        <v>Authority</v>
      </c>
      <c r="N16" t="str">
        <v>Comparison</v>
      </c>
    </row>
    <row r="17">
      <c r="N17" t="str">
        <v>Before &amp; After</v>
      </c>
    </row>
    <row r="18">
      <c r="N18" t="str">
        <v>Infographic</v>
      </c>
    </row>
    <row r="19">
      <c r="N19" t="str">
        <v>Meme</v>
      </c>
    </row>
    <row r="20">
      <c r="N20" t="str">
        <v>Sale / offer graphic</v>
      </c>
    </row>
  </sheetData>
  <pageMargins left="0.75" right="0.75" top="1" bottom="1" header="0" footer="0"/>
  <ignoredErrors>
    <ignoredError numberStoredAsText="1" sqref="A1:AJ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Briefs Monitoring</vt:lpstr>
      <vt:lpstr>Scripts Production</vt:lpstr>
      <vt:lpstr>Brief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2026-08-09T15:11:00Z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D269AE1A69D24B0F8A28200CEA1E57B2_12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